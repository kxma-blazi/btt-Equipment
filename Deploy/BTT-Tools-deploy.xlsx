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" sheetId="1" r:id="rId5"/>
    <sheet state="visible" name="รายชื่อผู้เบิก" sheetId="2" r:id="rId6"/>
    <sheet state="visible" name="SystemLogs" sheetId="3" r:id="rId7"/>
    <sheet state="visible" name="BorrowData" sheetId="4" r:id="rId8"/>
    <sheet state="hidden" name="ทะเบียนอุปกรณ์" sheetId="5" r:id="rId9"/>
    <sheet state="hidden" name="ประวัติยืมคืน" sheetId="6" r:id="rId10"/>
    <sheet state="hidden" name="ActivityLog" sheetId="7" r:id="rId11"/>
    <sheet state="visible" name="Categories" sheetId="8" r:id="rId12"/>
    <sheet state="hidden" name="Logs" sheetId="9" r:id="rId13"/>
    <sheet state="visible" name="Locations" sheetId="10" r:id="rId14"/>
    <sheet state="visible" name="ตรวจสอบข้อมูล (นำเข้า)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tc={02f9a16b-aa23-43a7-824f-47bd556f21c3}</author>
    <author>tc={035637b7-4e2f-40f5-be49-d0b5c562c0d3}</author>
    <author>tc={0e32befc-5312-4089-adf7-10fa4071df70}</author>
    <author>tc={4e0d7376-91b9-4614-99f4-62c60500456f}</author>
    <author>tc={bebfa1e8-f4ae-4dd7-aef2-c198a342dc86}</author>
    <author>tc={c75914b5-2068-46a6-9cdc-4168149aaccd}</author>
    <author>tc={c876dfac-de92-44f0-a453-a2ecd427bba1}</author>
    <author>tc={f62069bd-73f5-4a1d-bdb7-9160a4727de2}</author>
  </authors>
  <commentList>
    <comment authorId="0" xr:uid="{02f9a16b-aa23-43a7-824f-47bd556f21c3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ไม่ตรง
</t>
      </text>
    </comment>
    <comment authorId="1" xr:uid="{035637b7-4e2f-40f5-be49-d0b5c562c0d3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//Todo: รอพี่ ENG มาก่อนเเล้วค่อยถ่ายรูป
</t>
      </text>
    </comment>
    <comment authorId="2" xr:uid="{0e32befc-5312-4089-adf7-10fa4071df70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ปรับข้อมูลเลขรหัสให้เหมือนอันเดิม &gt; ค่อยไปเเก้ไขชื่อรูปใน Github
</t>
      </text>
    </comment>
    <comment authorId="3" xr:uid="{4e0d7376-91b9-4614-99f4-62c60500456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ชีตทะเบียนอุปกรณ์หลัก หนึ่งแถวต่อหนึ่งรายการ เก็บรหัส ชื่อ หมวดหมู่ สถานที่ จำนวน (BTT/TKE) Stock Min/Max ราคา สถานะ และหมายเหตุ หน้าเว็บอ่านข้อมูลจากชีตนี้ทั้งหมด และปุ่ม เพิ่ม/แก้ไข/ลบ ก็เขียนลงชีตนี้ คุณแก้ตรงในชีตได้เหมือนกัน (เช่น ใส่ราคา หรือตั้ง Min) แล้วกดรีเฟรชในหน้าเว็บ
</t>
      </text>
    </comment>
    <comment authorId="4" xr:uid="{bebfa1e8-f4ae-4dd7-aef2-c198a342dc86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TOL-001 &gt; TOL-999
</t>
      </text>
    </comment>
    <comment authorId="5" xr:uid="{c75914b5-2068-46a6-9cdc-4168149aaccd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ไม่ตรง
</t>
      </text>
    </comment>
    <comment authorId="6" xr:uid="{c876dfac-de92-44f0-a453-a2ecd427bba1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UPLOAD_PICTURE:
https://github.com/kxma-blazi/btt-Equipment/tree/main/
</t>
      </text>
    </comment>
    <comment authorId="7" xr:uid="{f62069bd-73f5-4a1d-bdb7-9160a4727de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//Todo: หาวิธีนำรูปมาเเสดง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tc={ae82d0f9-fc8e-4ace-9f37-ec8a291db2ce}</author>
  </authors>
  <commentList>
    <comment authorId="0" xr:uid="{ae82d0f9-fc8e-4ace-9f37-ec8a291db2c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ชีตบันทึกการเบิก/ยืม เมื่อกด "ยืนยันการยืม" ในหน้าเว็บ ระบบจะเพิ่มแถวใหม่ที่นี่ (รหัส โครงการ จำนวน วันที่เบิก ผู้เบิก สถานที่) ช่อง "วันที่คืน" จะเป็น "-" จนกว่าจะกดปุ่ม "คืน" ซึ่งระบบจะใส่วันที่ให้ ระบบใช้ชีตนี้คำนวณว่าอุปกรณ์ชิ้นไหนถูกยืมอยู่ จึงว่างอยู่ตอนนี้ตามปกติเพราะยังไม่มีการยืมจริง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tc={e2027c40-7e39-44ca-90b2-5197d071739d}</author>
  </authors>
  <commentList>
    <comment authorId="0" xr:uid="{e2027c40-7e39-44ca-90b2-5197d07173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ชีตรายชื่อหมวดหมู่ ใช้เป็นตัวเลือกใน dropdown และ datalist ตอนเพิ่มรายการ ระบบเพิ่มหมวดใหม่ให้อัตโนมัติเมื่อคุณพิมพ์หมวดที่ยังไม่มี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tc={bc7748a1-6423-49cd-9ea1-3f7ffce066f0}</author>
  </authors>
  <commentList>
    <comment authorId="0" xr:uid="{bc7748a1-6423-49cd-9ea1-3f7ffce066f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ชีตประวัติกิจกรรม ระบบเขียนให้เองทุกครั้งที่เพิ่ม แก้ ลบ ยืม หรือคืน และแสดงในแท็บ "ประวัติกิจกรรม" ไม่ต้องกรอกเอง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tc={1872871e-fc88-4efd-ad1b-043d79c3150d}</author>
  </authors>
  <commentList>
    <comment authorId="0" xr:uid="{1872871e-fc88-4efd-ad1b-043d79c315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ขีต รายชื่อสถานที่จัดเก็บ ทำงานแบบเดียวกับ Categories ในภาพจะเห็นว่าชื่อยาวถูกตัด ลองขยายความกว้างคอลัมน์ A ได้ ไม่มีผลต่อระบบ รายชื่อสถานที่บางรายการที่ผมนำเข้ายาวและละเอียดมาก (เช่น "อาคาร 212/3 ชั้น 1 (โต๊ะน้องส้ม)") ถ้าอยากให้สั้นลง ให้แก้ในชีต Asset คอลัมน์ G แล้วลบรายการเก่าในชีตนี้
</t>
      </text>
    </comment>
  </commentList>
</comments>
</file>

<file path=xl/sharedStrings.xml><?xml version="1.0" encoding="utf-8"?>
<sst xmlns="http://schemas.openxmlformats.org/spreadsheetml/2006/main" count="1783" uniqueCount="648">
  <si>
    <t>QR-Code</t>
  </si>
  <si>
    <t>รายชื่อผู้เบิก</t>
  </si>
  <si>
    <t>ลำดับ</t>
  </si>
  <si>
    <t>รหัส</t>
  </si>
  <si>
    <t>Time-Stamp</t>
  </si>
  <si>
    <t>พี่เจมรณ</t>
  </si>
  <si>
    <t>#</t>
  </si>
  <si>
    <t>ชื่อโครงการ</t>
  </si>
  <si>
    <t>พี่เจม</t>
  </si>
  <si>
    <t>รูปภาพ</t>
  </si>
  <si>
    <t>จำนวน</t>
  </si>
  <si>
    <t>สตางค์</t>
  </si>
  <si>
    <t>พี่เก่ง</t>
  </si>
  <si>
    <t>วันที่เบิก</t>
  </si>
  <si>
    <t>ชื่อรายการ</t>
  </si>
  <si>
    <t>พี่ปังปอนด์</t>
  </si>
  <si>
    <t>วันที่คืน</t>
  </si>
  <si>
    <t>พี่ก็อตจิ</t>
  </si>
  <si>
    <t>วัน-เวลา</t>
  </si>
  <si>
    <t>หมวดหมู่</t>
  </si>
  <si>
    <t>ผู้เบิก</t>
  </si>
  <si>
    <t>พี่โก้</t>
  </si>
  <si>
    <t>พี่หนุ่ม</t>
  </si>
  <si>
    <t>สถานที่จัดเก็บ</t>
  </si>
  <si>
    <t>สถานที่</t>
  </si>
  <si>
    <t>Stock Max</t>
  </si>
  <si>
    <t>ผู้ใช้งาน</t>
  </si>
  <si>
    <t>พี่อ้อน</t>
  </si>
  <si>
    <t>Stock Min</t>
  </si>
  <si>
    <t>พี่เเม็กกี้</t>
  </si>
  <si>
    <t>กิจกรรม</t>
  </si>
  <si>
    <t>ราคา/หน่วย</t>
  </si>
  <si>
    <t>พี่นุ่น</t>
  </si>
  <si>
    <t>สถานะ</t>
  </si>
  <si>
    <t>พี่ส้ม</t>
  </si>
  <si>
    <t>BTT</t>
  </si>
  <si>
    <t>พี่กอล์ฟ</t>
  </si>
  <si>
    <t>TKE</t>
  </si>
  <si>
    <t>พี่ตี๋</t>
  </si>
  <si>
    <t>พี่น็อต</t>
  </si>
  <si>
    <t>TOTAL</t>
  </si>
  <si>
    <t>ต้องซื้อเพิ่ม</t>
  </si>
  <si>
    <t>หักจาก BTT</t>
  </si>
  <si>
    <t>หมายเหตุ</t>
  </si>
  <si>
    <t>หักจาก TKE</t>
  </si>
  <si>
    <t>ผู้คืน</t>
  </si>
  <si>
    <t>รายละเอียด</t>
  </si>
  <si>
    <t>BTT-TO001</t>
  </si>
  <si>
    <t>IT-STANG</t>
  </si>
  <si>
    <t>เข้าสู่ระบบ</t>
  </si>
  <si>
    <t>สิทธิ์: IT</t>
  </si>
  <si>
    <t>Admin-NOON</t>
  </si>
  <si>
    <t>สิทธิ์: ADMIN</t>
  </si>
  <si>
    <t>กรุงเทพ</t>
  </si>
  <si>
    <t>คืนแล้ว</t>
  </si>
  <si>
    <t>TEST01</t>
  </si>
  <si>
    <t>ตรงตังสุดหล่อ</t>
  </si>
  <si>
    <t>ในนั้น</t>
  </si>
  <si>
    <t>Timestamp</t>
  </si>
  <si>
    <t>TO - 026</t>
  </si>
  <si>
    <t>UUID</t>
  </si>
  <si>
    <t>ImageURL</t>
  </si>
  <si>
    <t>AssetID</t>
  </si>
  <si>
    <t>AssetName</t>
  </si>
  <si>
    <t>Category</t>
  </si>
  <si>
    <t>Location</t>
  </si>
  <si>
    <t>MinStock</t>
  </si>
  <si>
    <t>Price</t>
  </si>
  <si>
    <t>TET</t>
  </si>
  <si>
    <t>BTT_Qty</t>
  </si>
  <si>
    <t>TKE_Qty</t>
  </si>
  <si>
    <t>Total_Qty</t>
  </si>
  <si>
    <t>Status</t>
  </si>
  <si>
    <t>Remark</t>
  </si>
  <si>
    <t>-</t>
  </si>
  <si>
    <t>test-uuid-001</t>
  </si>
  <si>
    <t>YST</t>
  </si>
  <si>
    <t>กำลังยืม</t>
  </si>
  <si>
    <t>TO-001</t>
  </si>
  <si>
    <t>โครงการทดสอบ</t>
  </si>
  <si>
    <t>เครื่องวัดอุณหภูมิ</t>
  </si>
  <si>
    <t>เครื่องมือช่าง</t>
  </si>
  <si>
    <t>ห้องเก็บของ แผนก Engineer</t>
  </si>
  <si>
    <t>ถูกยืม</t>
  </si>
  <si>
    <t>ปกติ</t>
  </si>
  <si>
    <t>ในโปรเเกรม TO - 001</t>
  </si>
  <si>
    <t>TO-002</t>
  </si>
  <si>
    <t>เครื่องเป่าลม RYOBI (BL-3500)</t>
  </si>
  <si>
    <t>พร้อมใช้งาน</t>
  </si>
  <si>
    <t>ในโปรเเกรม TO - 004</t>
  </si>
  <si>
    <t>TO-003</t>
  </si>
  <si>
    <t>VOLTH Model S-36</t>
  </si>
  <si>
    <t>ในโปรเเกรม TO - 005</t>
  </si>
  <si>
    <t>TO-004</t>
  </si>
  <si>
    <t>เครื่องพิมพ์ฉลากภาษาอังกฤษแบบพกพา</t>
  </si>
  <si>
    <t>ในโปรเเกรม TO - 006</t>
  </si>
  <si>
    <t>TO-005</t>
  </si>
  <si>
    <t>เลื่อยจิ๊กซอ Maktec (MT431)</t>
  </si>
  <si>
    <t>ในโปรเเกรม TO - 011</t>
  </si>
  <si>
    <t>TO-006</t>
  </si>
  <si>
    <t>หม้อแปลงแรงดันแบบ แกนหมุน</t>
  </si>
  <si>
    <t>ในโปรเเกรม TO - 012</t>
  </si>
  <si>
    <t>TO-007</t>
  </si>
  <si>
    <t>กระเป๋า DEMO</t>
  </si>
  <si>
    <t>ในโปรเเกรม TO - 014</t>
  </si>
  <si>
    <t>TO-008</t>
  </si>
  <si>
    <t>โฮมซอเจาะเหล็ก</t>
  </si>
  <si>
    <t>ในโปรเเกรม TO - 015</t>
  </si>
  <si>
    <t>TO-009</t>
  </si>
  <si>
    <t>กระเป๋าเครื่องมือ อลูมิเนียม</t>
  </si>
  <si>
    <t>ในโปรเเกรม TO - 016</t>
  </si>
  <si>
    <t>TO-010</t>
  </si>
  <si>
    <t>ในโปรเเกรม TO - 017</t>
  </si>
  <si>
    <t>TO-011</t>
  </si>
  <si>
    <t>ประเเจเเหวน MATALL D</t>
  </si>
  <si>
    <t>ในโปรเเกรม TO - 025</t>
  </si>
  <si>
    <t>TO-012</t>
  </si>
  <si>
    <t>ล้อสายไฟป้องกันไฟกระชาก</t>
  </si>
  <si>
    <t>ในโปรเเกรม TO - 019</t>
  </si>
  <si>
    <t>TO-013</t>
  </si>
  <si>
    <t>กล่องเครื่องมือ DIY HL3</t>
  </si>
  <si>
    <t>ในโปรเเกรม TO - 026</t>
  </si>
  <si>
    <t>TO-014</t>
  </si>
  <si>
    <t>ในโปรเเกรม TO - 027</t>
  </si>
  <si>
    <t>TO-015</t>
  </si>
  <si>
    <t>สว่านไร้สาย AEG 12V</t>
  </si>
  <si>
    <t>TO-016</t>
  </si>
  <si>
    <t>กล่องเครื่องมือ MATALL</t>
  </si>
  <si>
    <t>ในโปรเเกรม TO - 029</t>
  </si>
  <si>
    <t>TO-017</t>
  </si>
  <si>
    <t>สว่านไร้สาย Milwaukee FUEL M18</t>
  </si>
  <si>
    <t>ในโปรเเกรม TO - 030</t>
  </si>
  <si>
    <t>TO-018</t>
  </si>
  <si>
    <t>KYORITSU KEW 4105A EARTH TESTERS</t>
  </si>
  <si>
    <t>ในโปรเเกรม TO - 033</t>
  </si>
  <si>
    <t>TO-019</t>
  </si>
  <si>
    <t>KYORITSU KEW 8035 เครื่องทดสอบเฟส</t>
  </si>
  <si>
    <t>TO-020</t>
  </si>
  <si>
    <t>เครื่องเป่าลมร้อม Bosch GHG 18-60</t>
  </si>
  <si>
    <t>TO-021</t>
  </si>
  <si>
    <t>ไขควงชุด "PB" #215L พร้อมซองหนัง</t>
  </si>
  <si>
    <t>กล่องเครื่องมือ (แผนก Engineer)</t>
  </si>
  <si>
    <t>ในโปรเเกรม TO - 036</t>
  </si>
  <si>
    <t>TO-022</t>
  </si>
  <si>
    <t>TxID</t>
  </si>
  <si>
    <t>ในโปรเเกรม TO - 037</t>
  </si>
  <si>
    <t>ProjectName</t>
  </si>
  <si>
    <t>TO-023</t>
  </si>
  <si>
    <t>Qty</t>
  </si>
  <si>
    <t>เครื่องพิมพ์ปลอกสายไฟ Max-Marking Tubes</t>
  </si>
  <si>
    <t>BorrowDate</t>
  </si>
  <si>
    <t>ReturnDate</t>
  </si>
  <si>
    <t>Borrower</t>
  </si>
  <si>
    <t>ในโปรเเกรม TO - 038</t>
  </si>
  <si>
    <t>TO-024</t>
  </si>
  <si>
    <t>เครื่องวัดความเร็วรอบดิจิตอล แบบพกพา GM8905 Thermometer</t>
  </si>
  <si>
    <t>TO-025</t>
  </si>
  <si>
    <t>ชุดประแจแหวานข้างปากตาย</t>
  </si>
  <si>
    <t>หน่วย: .0 | แก้รหัส จาก 042</t>
  </si>
  <si>
    <t>05/10/2026 02:19:12</t>
  </si>
  <si>
    <t>TO-026</t>
  </si>
  <si>
    <t>ด้ามขันปอนด์ 1/2 นิ้ว</t>
  </si>
  <si>
    <t>หน่วย: .0 | แก้รหัส จาก 043</t>
  </si>
  <si>
    <t>TO-027</t>
  </si>
  <si>
    <t>TPAK Meter Hanging Kit</t>
  </si>
  <si>
    <t>TO-028</t>
  </si>
  <si>
    <t>คีมตัดสายไฟ - Robin</t>
  </si>
  <si>
    <t>TO-029</t>
  </si>
  <si>
    <t>KOCHE บ๊อกชุด 96 ตัว/ชุด</t>
  </si>
  <si>
    <t>TO-030</t>
  </si>
  <si>
    <t>KOCHE ไขควงชุด 10 ตัว/ชุด</t>
  </si>
  <si>
    <t>TO-031</t>
  </si>
  <si>
    <t>TO-032</t>
  </si>
  <si>
    <t>TO-033</t>
  </si>
  <si>
    <t>TOREX ประแจแหวนข้างปากตาย</t>
  </si>
  <si>
    <t>TO-034</t>
  </si>
  <si>
    <t>TO-035</t>
  </si>
  <si>
    <t>Godfrey ล้อเก็บสายไฟ 16A ยาว 20M 3,600W</t>
  </si>
  <si>
    <t>LogID</t>
  </si>
  <si>
    <t>DateTime</t>
  </si>
  <si>
    <t>User</t>
  </si>
  <si>
    <t>Action</t>
  </si>
  <si>
    <t>Detail</t>
  </si>
  <si>
    <t>TO-036</t>
  </si>
  <si>
    <t>TO-037</t>
  </si>
  <si>
    <t>แท่นตัด 14"</t>
  </si>
  <si>
    <t>TO-038</t>
  </si>
  <si>
    <t>ตู้เชื่อม 400 A</t>
  </si>
  <si>
    <t>TO-039</t>
  </si>
  <si>
    <t>เครื่องพิมพ์ปลอกสายไฟ-MAX</t>
  </si>
  <si>
    <t>TO-040</t>
  </si>
  <si>
    <t>DEWALT สว่านกระแทกไร้สายไร้แปรงถ่าน</t>
  </si>
  <si>
    <t>TO-041</t>
  </si>
  <si>
    <t>เครื่องเจียร์ 4" AG7-100 MILWAUKEE</t>
  </si>
  <si>
    <t>TO-042</t>
  </si>
  <si>
    <t>เครื่องดูดฝุ่น-ดูดน้ำ ZINSANO 1,500 วัตต์</t>
  </si>
  <si>
    <t>TO-043</t>
  </si>
  <si>
    <t>สว่านไร้สาย J-12D1301 PUMKIN</t>
  </si>
  <si>
    <t>TO-044</t>
  </si>
  <si>
    <t>ไม้ชักฟิวส์แบบสไล้ท์ 10.5 M.</t>
  </si>
  <si>
    <t>TO-045</t>
  </si>
  <si>
    <t>เครื่องเป่าลมไร้สาย 18V DEWALT</t>
  </si>
  <si>
    <t>TO-046</t>
  </si>
  <si>
    <t>เครื่องวิเคราะห์คุณภาพไฟฟ้า</t>
  </si>
  <si>
    <t>TO-047</t>
  </si>
  <si>
    <t>อุปกรณ์สำหรับวัดกระแสไฟฟ้า (สีแดง)</t>
  </si>
  <si>
    <t>TO-048</t>
  </si>
  <si>
    <t>อุปกรณ์สำหรับวัดกระแสไฟฟ้า (สีเหลือง)</t>
  </si>
  <si>
    <t>TO-049</t>
  </si>
  <si>
    <t>อุปกรณ์สำหรับวัดกระแสไฟฟ้า (สีน้ำเงิน)</t>
  </si>
  <si>
    <t>TO-050</t>
  </si>
  <si>
    <t>เครื่องดูดฝุ่นไร้สาย 7.5L 18V DEWALT</t>
  </si>
  <si>
    <t>TO-051</t>
  </si>
  <si>
    <t>เครื่องวัดและทดสอบฉนวน (Digital Insulation Tester)</t>
  </si>
  <si>
    <t>TO-052</t>
  </si>
  <si>
    <t>กล่องกันกระแทก (Hardcase) HARZ HC-272 (1/2)</t>
  </si>
  <si>
    <t>TO-053</t>
  </si>
  <si>
    <t>กล่องกันกระแทก (Hardcase) HARZ HC-272 (2/2)</t>
  </si>
  <si>
    <t>TO-054</t>
  </si>
  <si>
    <t>กล่องกันกระแทก (Hardcase) HARZ HC-449 (1/2)</t>
  </si>
  <si>
    <t>TO-055</t>
  </si>
  <si>
    <t>กล่องกันกระแทก (Hardcase) HARZ HC-449 (2/2)</t>
  </si>
  <si>
    <t>TO-056</t>
  </si>
  <si>
    <t>กล่องกันกระแทก (Hardcase) HARZ HC-482 (1/2)</t>
  </si>
  <si>
    <t>TO-057</t>
  </si>
  <si>
    <t>กล่องกันกระแทก (Hardcase) HARZ HC-482 (2/2)</t>
  </si>
  <si>
    <t>TO-058</t>
  </si>
  <si>
    <t>เครื่องขัดเงา PUMPKIN 7 นิ้ว สีส้ม-ดำ</t>
  </si>
  <si>
    <t>TO-059</t>
  </si>
  <si>
    <t>คีมย้ำหางปลา TP-5S KING TTC</t>
  </si>
  <si>
    <t>TO-060</t>
  </si>
  <si>
    <t>เครื่องตรวจจับแรงดันไฟฟ้าแรงดันสูง KEPLER</t>
  </si>
  <si>
    <t>TO-061</t>
  </si>
  <si>
    <t>ไม้ฉนวน/ไม้ชักฟิวส์ Length 1.2 m. KEPLER</t>
  </si>
  <si>
    <t>TO-062</t>
  </si>
  <si>
    <t>โดรน DJI Air 3 Fly More Combo</t>
  </si>
  <si>
    <t>TO-063</t>
  </si>
  <si>
    <t>ประแจทอร์คไร้สาย 18V DEWALT (1/2)</t>
  </si>
  <si>
    <t xml:space="preserve">5/3/2568 , 4,253.42 </t>
  </si>
  <si>
    <t>TO-064</t>
  </si>
  <si>
    <t>ประแจทอร์คไร้สาย 18V DEWALT (2/2)</t>
  </si>
  <si>
    <t>หน่วย: .0 | ขึ้นทะเบียน 03/05/2568</t>
  </si>
  <si>
    <t>TO-065</t>
  </si>
  <si>
    <t>เครื่องเจียรไร้สาย 4" 20V-BL DEWALT (1/2)</t>
  </si>
  <si>
    <t>TO-066</t>
  </si>
  <si>
    <t>เครื่องเจียรไร้สาย 4" 20V-BL DEWALT (2/2)</t>
  </si>
  <si>
    <t>TO-067</t>
  </si>
  <si>
    <t>พัดลมไร้สาย 11" 20V DEWALT (1/2)</t>
  </si>
  <si>
    <t>TO-068</t>
  </si>
  <si>
    <t>พัดลมไร้สาย 11" 20V DEWALT (2/2)</t>
  </si>
  <si>
    <t>TO-069</t>
  </si>
  <si>
    <t>ชุดสว่านกระแทก+ไขควง DEWALT (1/2)</t>
  </si>
  <si>
    <t>TO-070</t>
  </si>
  <si>
    <t>ชุดสว่านกระแทก+ไขควง DEWALT (2/2)</t>
  </si>
  <si>
    <t>TO-071</t>
  </si>
  <si>
    <t>ชุดบล็อกกระแทกไร้สาย 1/2" DEWALT (1/2)</t>
  </si>
  <si>
    <t>TO-072</t>
  </si>
  <si>
    <t>ชุดบล็อกกระแทกไร้สาย 1/2" DEWALT (2/2)</t>
  </si>
  <si>
    <t>TO-073</t>
  </si>
  <si>
    <t>กล่องใส่อุปกรณ์ DEWALT (1/2)</t>
  </si>
  <si>
    <t>TO-074</t>
  </si>
  <si>
    <t>กล่องใส่อุปกรณ์ DEWALT (2/2)</t>
  </si>
  <si>
    <t>TO-075</t>
  </si>
  <si>
    <t>กล่องเครื่องมือขนาดกลาง DEWALT (1/2)</t>
  </si>
  <si>
    <t>TO-076</t>
  </si>
  <si>
    <t>กล่องเครื่องมือขนาดกลาง DEWALT (2/2)</t>
  </si>
  <si>
    <t>TO-077</t>
  </si>
  <si>
    <t>รถเข็นกล่องเครื่องมือ DEWALT (1/2)</t>
  </si>
  <si>
    <t>TO-078</t>
  </si>
  <si>
    <t>รถเข็นกล่องเครื่องมือ DEWALT (2/2)</t>
  </si>
  <si>
    <t>TO-079</t>
  </si>
  <si>
    <t>เครื่องเป่าลมไร้สาย 20V DEWALT</t>
  </si>
  <si>
    <t>TO-080</t>
  </si>
  <si>
    <t>ชุดลูกบ๊อกซ์ 23 ชิ้น DEWALT (1/2)</t>
  </si>
  <si>
    <t>TO-081</t>
  </si>
  <si>
    <t>ชุดลูกบ๊อกซ์ 23 ชิ้น DEWALT (2/2)</t>
  </si>
  <si>
    <t>TO-082</t>
  </si>
  <si>
    <t>คีมย้ำหางปลาเปลือย TSUNODA (1/3)</t>
  </si>
  <si>
    <t>หน่วย: .0 | ขึ้นทะเบียน 07/05/2568</t>
  </si>
  <si>
    <t>TO-083</t>
  </si>
  <si>
    <t>คีมย้ำหางปลาเปลือย TSUNODA (2/3)</t>
  </si>
  <si>
    <t>TO-084</t>
  </si>
  <si>
    <t>คีมย้ำหางปลาเปลือย TSUNODA (3/3)</t>
  </si>
  <si>
    <t>TO-085</t>
  </si>
  <si>
    <t>คีมย้ำหางปลาเปลือย KingTTC (1/3)</t>
  </si>
  <si>
    <t>หน่วย: .0 | ขึ้นทะเบียน 19/05/2568</t>
  </si>
  <si>
    <t>TO-086</t>
  </si>
  <si>
    <t>คีมย้ำหางปลาเปลือย KingTTC (2/3)</t>
  </si>
  <si>
    <t>TO-087</t>
  </si>
  <si>
    <t>คีมย้ำหางปลาเปลือย KingTTC (3/3)</t>
  </si>
  <si>
    <t>หน่วย: .0</t>
  </si>
  <si>
    <t>TO-088</t>
  </si>
  <si>
    <t>TO-089</t>
  </si>
  <si>
    <t>ตู้รองเท้า</t>
  </si>
  <si>
    <t>ครุภัณฑ์สำนักงาน</t>
  </si>
  <si>
    <t>ห้องแอดมิน</t>
  </si>
  <si>
    <t>TO-090</t>
  </si>
  <si>
    <t>แอร์ผนังLG 18000BTU</t>
  </si>
  <si>
    <t>TO-091</t>
  </si>
  <si>
    <t>Computer</t>
  </si>
  <si>
    <t>คอมพิวเตอร์/IT (CO)</t>
  </si>
  <si>
    <t>อาคาร212/1 ชั้น 1</t>
  </si>
  <si>
    <t>TO-092</t>
  </si>
  <si>
    <t>TO-093</t>
  </si>
  <si>
    <t>TO-094</t>
  </si>
  <si>
    <t>โต๊ะทำงาน</t>
  </si>
  <si>
    <t>TO-095</t>
  </si>
  <si>
    <t>TO-096</t>
  </si>
  <si>
    <t>TO-097</t>
  </si>
  <si>
    <t>ตู้เหล็ก 3ชั้น สีเทา</t>
  </si>
  <si>
    <t>TO-098</t>
  </si>
  <si>
    <t>TO-099</t>
  </si>
  <si>
    <t>เครื่องปริ้น Baother MFC-J6910DW แท้ง Brother</t>
  </si>
  <si>
    <t>TO-100</t>
  </si>
  <si>
    <t>PRINTER BROTHER</t>
  </si>
  <si>
    <t>TO-101</t>
  </si>
  <si>
    <t>ตู้สีครีม</t>
  </si>
  <si>
    <t>TO-102</t>
  </si>
  <si>
    <t>ตู้บานเลื่อน</t>
  </si>
  <si>
    <t>TO-103</t>
  </si>
  <si>
    <t>เก้าอี้หลังพิงสีฟ้า</t>
  </si>
  <si>
    <t>TO-104</t>
  </si>
  <si>
    <t>เครื่องสำรองไฟ</t>
  </si>
  <si>
    <t>TO-105</t>
  </si>
  <si>
    <t>โทรศัพท์</t>
  </si>
  <si>
    <t>TO-106</t>
  </si>
  <si>
    <t>ตู้เอกสารล่าง 2 บานเปิดบนโล่ง รุ่น PMF-816</t>
  </si>
  <si>
    <t>TO-107</t>
  </si>
  <si>
    <t>FAX</t>
  </si>
  <si>
    <t>TO-108</t>
  </si>
  <si>
    <t>TO-109</t>
  </si>
  <si>
    <t>ชั้นโล่ง 9 ช่อง สีโอ๊ด</t>
  </si>
  <si>
    <t>TO-110</t>
  </si>
  <si>
    <t>ทำงาน สีขาวหักมุม</t>
  </si>
  <si>
    <t>TO-111</t>
  </si>
  <si>
    <t>กล่องกุญแจ 46 ดอก</t>
  </si>
  <si>
    <t>TO-112</t>
  </si>
  <si>
    <t>โต๊ะทำงานสีขาวตรง</t>
  </si>
  <si>
    <t>TO-113</t>
  </si>
  <si>
    <t>เครื่องทำน้ำเย็น SHARP SB-C95</t>
  </si>
  <si>
    <t>TO-114</t>
  </si>
  <si>
    <t>โทรศัพท์ Panasonic</t>
  </si>
  <si>
    <t>รหัส RO-026</t>
  </si>
  <si>
    <t>TO-115</t>
  </si>
  <si>
    <t>โต๊ะทำงานสีขาว</t>
  </si>
  <si>
    <t>TO-116</t>
  </si>
  <si>
    <t>TO-117</t>
  </si>
  <si>
    <t>ตู้เอกสารล่าง 2 บานเปิดบนโล่ง</t>
  </si>
  <si>
    <t>TO-118</t>
  </si>
  <si>
    <t>ตู้เอกสาร 4 บาน</t>
  </si>
  <si>
    <t>TO-119</t>
  </si>
  <si>
    <t>โต๊ะทำงาน มีกระจกใส</t>
  </si>
  <si>
    <t>TO-120</t>
  </si>
  <si>
    <t>โต๊ะทำงานสีโอ๊ค</t>
  </si>
  <si>
    <t>TO-121</t>
  </si>
  <si>
    <t>ตู้เอกสารสูงบานสไลด์ NONO C 150 WSS</t>
  </si>
  <si>
    <t>อาคาร 212/3 ชั้น 1 (ข้างตู้ปลา)</t>
  </si>
  <si>
    <t>TO-122</t>
  </si>
  <si>
    <t>ตู้บานเลื่อนทึบ 4 ฟุต ZDO-314 สีเทาควัน</t>
  </si>
  <si>
    <t>อาคาร 212/3 ชั้น 1 (ข้างโต๊ะแน๊ต)</t>
  </si>
  <si>
    <t>TO-123</t>
  </si>
  <si>
    <t>ตู้ลิ้นชักเลื่อนสีเทา ลิ้นชักเหล็ก</t>
  </si>
  <si>
    <t>เลข RO-085</t>
  </si>
  <si>
    <t>TO-124</t>
  </si>
  <si>
    <t>อาคาร 212/3 ชั้น 1 (ข้างโต๊ะน้องส้ม)</t>
  </si>
  <si>
    <t>TO-125</t>
  </si>
  <si>
    <t>อาคาร 212/3 ชั้น 1 (โต๊ะแน๊ต)</t>
  </si>
  <si>
    <t>TO-126</t>
  </si>
  <si>
    <t>เครื่องคอมพิวเตอร์ ACER</t>
  </si>
  <si>
    <t>อาคาร 212/3 ชั้น 1 (คอมแน๊ต)</t>
  </si>
  <si>
    <t>TO-127</t>
  </si>
  <si>
    <t>อาคาร 212/3 ชั้น 1 (คอมน้องส้ม)</t>
  </si>
  <si>
    <t>TO-128</t>
  </si>
  <si>
    <t>เครื่องคอมพิวเตอร์</t>
  </si>
  <si>
    <t>อาคาร 212/3 ชั้น 1 (คอมพี่หลิง)</t>
  </si>
  <si>
    <t>TO-129</t>
  </si>
  <si>
    <t>อาคาร 212/3 ชั้น 1 (เครื่องแน๊ต)</t>
  </si>
  <si>
    <t>TO-130</t>
  </si>
  <si>
    <t>Epson LQ 300+</t>
  </si>
  <si>
    <t>อาคาร 212/3 ชั้น 1 (โต๊ะพี่หลิง)</t>
  </si>
  <si>
    <t>TO-131</t>
  </si>
  <si>
    <t>ตู้เอกสารเตี้ยบานเปิด รุ่น ALO-8080 สีเมเปิ้ล</t>
  </si>
  <si>
    <t>TO-132</t>
  </si>
  <si>
    <t>โทรศัพท์ Panasonic KX-T2371MXW</t>
  </si>
  <si>
    <t>อาคาร 212/3 ชั้น 1 (โต๊ะน้องส้ม)</t>
  </si>
  <si>
    <t>TO-133</t>
  </si>
  <si>
    <t>โทรศัพท์ Panasonic KX-TS520MX</t>
  </si>
  <si>
    <t>TO-134</t>
  </si>
  <si>
    <t>โทรศัพท์พื้นฐาน PAN KX-TS500MX-B</t>
  </si>
  <si>
    <t>TO-135</t>
  </si>
  <si>
    <t>ตู้เย็น RT32FDRCDSL/ST REF</t>
  </si>
  <si>
    <t>อาคาร 212/3 ชั้น 1 (ห้องครัว)</t>
  </si>
  <si>
    <t>TO-136</t>
  </si>
  <si>
    <t>ตู้เอนกประสงค์ SC1201</t>
  </si>
  <si>
    <t>อาคาร 212/3 ชั้น 1 (ข้างบันได)</t>
  </si>
  <si>
    <t>TO-137</t>
  </si>
  <si>
    <t>air-conditioner SAMSUNG รุ่น AS18TULN</t>
  </si>
  <si>
    <t>อาคาร 212/3 ชั้น 1 (ห้องกินข้าว)</t>
  </si>
  <si>
    <t>ชื่อ</t>
  </si>
  <si>
    <t>TO-138</t>
  </si>
  <si>
    <t>พาร์ติชั่นตั้งโต๊ะ 120*3.20</t>
  </si>
  <si>
    <t>คอมพิวเตอร์</t>
  </si>
  <si>
    <t>เครื่องมือวัด</t>
  </si>
  <si>
    <t>เครื่องมือช่าง (TO)</t>
  </si>
  <si>
    <t>TO-139</t>
  </si>
  <si>
    <t>TO-140</t>
  </si>
  <si>
    <t>ตู้จดหมาย MB 02</t>
  </si>
  <si>
    <t>อาคาร 212/3 ชั้น 1</t>
  </si>
  <si>
    <t>TO-141</t>
  </si>
  <si>
    <t>TP-LINK WHOLE HOME (DECO M4) (PACK2)</t>
  </si>
  <si>
    <t>อาคาร 212/3 ชั้น 1-2</t>
  </si>
  <si>
    <t>TO-142</t>
  </si>
  <si>
    <t>แทงค์ แอดวานซ์ 500 ลิตร พร้อมอุปกรณ์ติดตั้ง</t>
  </si>
  <si>
    <t>TO-143</t>
  </si>
  <si>
    <t>โทรศัพท์ Panasonic KX-T7730X</t>
  </si>
  <si>
    <t>อาคาร 212/3 ชั้น 1 (ใช้ไม่ได้)</t>
  </si>
  <si>
    <t>TO-144</t>
  </si>
  <si>
    <t>TO-145</t>
  </si>
  <si>
    <t>อาคาร 212/3 ชั้น 3 (ห้องพี่บี)</t>
  </si>
  <si>
    <t>TO-146</t>
  </si>
  <si>
    <t>ตู้ลิ้นชักแขวนแฟ้มเชอรี่ดำ</t>
  </si>
  <si>
    <t>TO-147</t>
  </si>
  <si>
    <t>ตู้เหล็กบานเลื่อน เทาสลับ ZDO-1886</t>
  </si>
  <si>
    <t>อาคาร 212/3 ชั้น 2</t>
  </si>
  <si>
    <t>TO-148</t>
  </si>
  <si>
    <t>TO-149</t>
  </si>
  <si>
    <t>พัดลม SCANA</t>
  </si>
  <si>
    <t>TO-150</t>
  </si>
  <si>
    <t>เครื่องคิมพิวเตอร์</t>
  </si>
  <si>
    <t>อาคาร 212/3 ชั้น 2 (คอมพี่แจ๋น)</t>
  </si>
  <si>
    <t>TO-151</t>
  </si>
  <si>
    <t>อาคาร 212/3 ชั้น 3 (เครื่องพี่บี)</t>
  </si>
  <si>
    <t>TO-152</t>
  </si>
  <si>
    <t>วัน-เวลา (Timestamp)</t>
  </si>
  <si>
    <t>กิจกรรม (Action)</t>
  </si>
  <si>
    <t>TO-153</t>
  </si>
  <si>
    <t>ตู้เอกสารโล่งไม่มีบานประตู รุ่น PLF-8080</t>
  </si>
  <si>
    <t>TO-154</t>
  </si>
  <si>
    <t>ตู้เหล็กบานเลื่อน เทาสลับ Aingul</t>
  </si>
  <si>
    <t>TO-155</t>
  </si>
  <si>
    <t>เครื่องคิดเลข 14 หลัก Cannon</t>
  </si>
  <si>
    <t>อาคาร 212/3 ชั้น 2 (คอมพี่ตุ๋ย)</t>
  </si>
  <si>
    <t>TO-156</t>
  </si>
  <si>
    <t>คอมพิวเตอร์ N/B TOSHIBA</t>
  </si>
  <si>
    <t>TO-157</t>
  </si>
  <si>
    <t>NB LEVONO X2011 13-380</t>
  </si>
  <si>
    <t>TO-158</t>
  </si>
  <si>
    <t>ตู้สาขาโทรศัพท์ Panasonic</t>
  </si>
  <si>
    <t>TO-159</t>
  </si>
  <si>
    <t>เครื่องปริ้นเตอร์ หัวเข็ม Epson</t>
  </si>
  <si>
    <t>อาคาร 212/3 ชั้น 2 (เครื่องพี่แจ๋น)</t>
  </si>
  <si>
    <t>TO-160</t>
  </si>
  <si>
    <t>Printer Epson L315</t>
  </si>
  <si>
    <t>TO-161</t>
  </si>
  <si>
    <t>อาคาร 212/3 ชั้น 2 (โต๊ะพี่แจ๋น)</t>
  </si>
  <si>
    <t>TO-162</t>
  </si>
  <si>
    <t>ป้ายบริษัท</t>
  </si>
  <si>
    <t>อาคาร 212/1 ชั้น 1</t>
  </si>
  <si>
    <t>TO-163</t>
  </si>
  <si>
    <t>อาคาร 212/1 ชั้น 1 (ห้อง engineering)</t>
  </si>
  <si>
    <t>TO-164</t>
  </si>
  <si>
    <t>โต๊ะทำงานพร้อมกระจก</t>
  </si>
  <si>
    <t>TO-165</t>
  </si>
  <si>
    <t>อาคาร 212/1 ชั้น 1 (โต๊ะน้องเก้)</t>
  </si>
  <si>
    <t>TO-166</t>
  </si>
  <si>
    <t>โต๊ะทำงานสีดำ 3 ตัว</t>
  </si>
  <si>
    <t>TO-167</t>
  </si>
  <si>
    <t>TO-168</t>
  </si>
  <si>
    <t>ตู้ลิ้นชัก Inside Drawers (High Type)</t>
  </si>
  <si>
    <t>อาคาร 212/1 ชั้น 1 (ข้างบันได)</t>
  </si>
  <si>
    <t>TO-169</t>
  </si>
  <si>
    <t>อาคาร 212/1 ชั้น 1 (หน้าห้องเก็บของ)</t>
  </si>
  <si>
    <t>TO-170</t>
  </si>
  <si>
    <t>แอร์ผนัง LG 18,000 BTU</t>
  </si>
  <si>
    <t>TO-171</t>
  </si>
  <si>
    <t>TO-172</t>
  </si>
  <si>
    <t>พาร์ติชั่น</t>
  </si>
  <si>
    <t>อาคาร 212/1 ชั้น 1 (หน้าบันได)</t>
  </si>
  <si>
    <t>TO-173</t>
  </si>
  <si>
    <t>TO-174</t>
  </si>
  <si>
    <t>อาคาร 212/1 ชั้น 1 (ข้างโต๊ะน้องเก้)</t>
  </si>
  <si>
    <t>TO-175</t>
  </si>
  <si>
    <t>TO-176</t>
  </si>
  <si>
    <t>เครื่อง PRINTER BROTHER</t>
  </si>
  <si>
    <t>TO-177</t>
  </si>
  <si>
    <t>โต๊ะเงินขัด A ขาญี่ปุ่น</t>
  </si>
  <si>
    <t>TO-178</t>
  </si>
  <si>
    <t>โต๊ะคอมพิวเตอร์</t>
  </si>
  <si>
    <t>TO-179</t>
  </si>
  <si>
    <t>อาคาร 212/1 ชั้น (พี่หนุ่มใช้)</t>
  </si>
  <si>
    <t>TO-180</t>
  </si>
  <si>
    <t>ตู้เก็บกุญแจแบบหมุน / กล่องกุญแจ 46 ดอก</t>
  </si>
  <si>
    <t>TO-181</t>
  </si>
  <si>
    <t>จออคอม LENOVO</t>
  </si>
  <si>
    <t>TO-182</t>
  </si>
  <si>
    <t>ประตูบานสวิงอลูมิเนียม</t>
  </si>
  <si>
    <t>TO-183</t>
  </si>
  <si>
    <t>โต๊ะนั่งเล่น</t>
  </si>
  <si>
    <t>หน้าอาคาร 212/1</t>
  </si>
  <si>
    <t>TO-184</t>
  </si>
  <si>
    <t>ครุภัณฑ์ Seminar Table (Flap Tavle)</t>
  </si>
  <si>
    <t>TO-185</t>
  </si>
  <si>
    <t>ชั้นเหล็กวางของ 1/4</t>
  </si>
  <si>
    <t>TO-186</t>
  </si>
  <si>
    <t>ชั้นเหล็กวางของ 2/4</t>
  </si>
  <si>
    <t>TO-187</t>
  </si>
  <si>
    <t>ชั้นเหล็กวางของ 3/4</t>
  </si>
  <si>
    <t>TO-188</t>
  </si>
  <si>
    <t>ชั้นเหล็กวางของ 4/4</t>
  </si>
  <si>
    <t>TO-189</t>
  </si>
  <si>
    <t>TO-190</t>
  </si>
  <si>
    <t>ตู้เอกสารสูงบานสไลด์ MONO</t>
  </si>
  <si>
    <t>TO-191</t>
  </si>
  <si>
    <t>เครื่องดูดฝุ่น น้ำ - แห้ง</t>
  </si>
  <si>
    <t>ห้องเครื่องมือ</t>
  </si>
  <si>
    <t>TO-192</t>
  </si>
  <si>
    <t>โต๊ะพับเอนกประสงค์ 180x75x75</t>
  </si>
  <si>
    <t>TO-193</t>
  </si>
  <si>
    <t>เครื่องปริ้น Brother MFC-J6910DW</t>
  </si>
  <si>
    <t>TO-194</t>
  </si>
  <si>
    <t>TO-195</t>
  </si>
  <si>
    <t>โทรศัพท์ Panasonic KX-T2373MXW</t>
  </si>
  <si>
    <t>TO-196</t>
  </si>
  <si>
    <t>TO-197</t>
  </si>
  <si>
    <t>โทรศัพท์ PANASONIC KX-TS840MXB</t>
  </si>
  <si>
    <t>TO-198</t>
  </si>
  <si>
    <t>โต๊ะทำงานขาว</t>
  </si>
  <si>
    <t>TO-199</t>
  </si>
  <si>
    <t>TO-200</t>
  </si>
  <si>
    <t>TO-201</t>
  </si>
  <si>
    <t>แอร์ผนัง LG 9,400 BTU</t>
  </si>
  <si>
    <t>อาคาร 212/1 ชั้น 2 (ห้องประชุมเล็ก)</t>
  </si>
  <si>
    <t>TO-202</t>
  </si>
  <si>
    <t>กระดานกระจกสีขาว (บอร์ด)</t>
  </si>
  <si>
    <t>TO-203</t>
  </si>
  <si>
    <t>กรอบรูปในหลวง</t>
  </si>
  <si>
    <t>อาคาร 212/1 ชั้น 2 (บันไดขึ้นชั้น 3)</t>
  </si>
  <si>
    <t>TO-204</t>
  </si>
  <si>
    <t>กรอบรูปรัชกาลที่ 5</t>
  </si>
  <si>
    <t>อาคาร 212/1 ชั้น 2 (หน้าห้องประชุมเล็ก)</t>
  </si>
  <si>
    <t>TO-205</t>
  </si>
  <si>
    <t>โต๊ะพับ 3 ฟุต</t>
  </si>
  <si>
    <t>TO-206</t>
  </si>
  <si>
    <t>ตู้โทรศัพท์สาขา Panasonic KX-TEB308BX</t>
  </si>
  <si>
    <t>TO-207</t>
  </si>
  <si>
    <t>คอมพิวเตอร์ PC ครบชุด</t>
  </si>
  <si>
    <t>TO-208</t>
  </si>
  <si>
    <t>ตู้เอกสาร FL075</t>
  </si>
  <si>
    <t>TO-209</t>
  </si>
  <si>
    <t>ตู้บานเลื่อนทึบ 4 ฟุต SD-014 สีขาวสลับแดง</t>
  </si>
  <si>
    <t>อาคาร 212/1 ชั้น 3 (หน้าห้องประชุมใหญ่)</t>
  </si>
  <si>
    <t>TO-210</t>
  </si>
  <si>
    <t>กุญแจโซโล</t>
  </si>
  <si>
    <t>จำนวนต้นฉบับ: ฉ</t>
  </si>
  <si>
    <t>TO-211</t>
  </si>
  <si>
    <t>Handv-A ฉากรับชั้นเพลาก</t>
  </si>
  <si>
    <t>หน่วย: ชุด</t>
  </si>
  <si>
    <t>TO-212</t>
  </si>
  <si>
    <t>เต้นท์ GAZEBO 3</t>
  </si>
  <si>
    <t>TO-213</t>
  </si>
  <si>
    <t>เต้นท์สนามอลูมิเนียม 3*</t>
  </si>
  <si>
    <t>TO-214</t>
  </si>
  <si>
    <t>ชุด อปก.ถังปั่นสแตนเลส</t>
  </si>
  <si>
    <t>หน่วย: เครื่อง</t>
  </si>
  <si>
    <t>TO-215</t>
  </si>
  <si>
    <t>กล่องเครื่องมือ PRO TSB</t>
  </si>
  <si>
    <t>TO-216</t>
  </si>
  <si>
    <t>Yoobao Thunderlt 15600</t>
  </si>
  <si>
    <t>TO-217</t>
  </si>
  <si>
    <t>ผ้าใบสีเขียวขี้ม้า</t>
  </si>
  <si>
    <t>TO-218</t>
  </si>
  <si>
    <t>ตู้เมนไฟฟ้า</t>
  </si>
  <si>
    <t>หน่วย: ตู้</t>
  </si>
  <si>
    <t>TO-219</t>
  </si>
  <si>
    <t>หม้อแปลงไฟฟ้า</t>
  </si>
  <si>
    <t>หน่วย: ตัว</t>
  </si>
  <si>
    <t>TO-220</t>
  </si>
  <si>
    <t>Canon EOS 1100b-Grev</t>
  </si>
  <si>
    <t>TO-221</t>
  </si>
  <si>
    <t>ชั้นแขวนเข้ามุม 2 ชั้น</t>
  </si>
  <si>
    <t>TO-222</t>
  </si>
  <si>
    <t>ชุด อปก.ถังปั่น+ม็อบ SE</t>
  </si>
  <si>
    <t>ห้องครัว 212/1</t>
  </si>
  <si>
    <t>TO-223</t>
  </si>
  <si>
    <t>VOLTH Model S-17</t>
  </si>
  <si>
    <t>TO-224</t>
  </si>
  <si>
    <t>TO-225</t>
  </si>
  <si>
    <t>Processmeter</t>
  </si>
  <si>
    <t>ฝ่ายวิศวกรรม</t>
  </si>
  <si>
    <t>เอารูปนี้ไปก่อน</t>
  </si>
  <si>
    <t>TO-226</t>
  </si>
  <si>
    <t>MEGOHMMETER C.A 6505</t>
  </si>
  <si>
    <t>ยี่ห้อ Chauvin Arnoux | S/N 134881 NFH | นำเข้า 30/03/55 | คลาดเคลื่อน ±2% | สอบเทียบ 1 ครั้ง/ปี</t>
  </si>
  <si>
    <t>TO-227</t>
  </si>
  <si>
    <t>POWER &amp; QUAUTY C.A 8331</t>
  </si>
  <si>
    <t>ยี่ห้อ Chauvin Arnoux | S/N 00001564 | นำเข้า 30/03/55 | คลาดเคลื่อน ±1% | สอบเทียบ 1 ครั้ง/ปี</t>
  </si>
  <si>
    <t>TO-228</t>
  </si>
  <si>
    <t>Insulation-Coninuity Tester</t>
  </si>
  <si>
    <t>ยี่ห้อ Kyoritsu | S/N W0292342 | นำเข้า 30/03/55 | คลาดเคลื่อน ±2% | สอบเทียบ 1 ครั้ง/ปี</t>
  </si>
  <si>
    <t>TO-229</t>
  </si>
  <si>
    <t>Earth Tester</t>
  </si>
  <si>
    <t>ยี่ห้อ Kyoritsu | S/N 0270764 | นำเข้า 24/04/63 | คลาดเคลื่อน ±15% | สอบเทียบ 1 ครั้ง/ปี</t>
  </si>
  <si>
    <t>TO-230</t>
  </si>
  <si>
    <t>Phase Indicator</t>
  </si>
  <si>
    <t>ยี่ห้อ Kyoritsu | S/N 8302900 | นำเข้า 18/05/63 | คลาดเคลื่อน ±1% | สอบเทียบ 1 ครั้ง/ปี</t>
  </si>
  <si>
    <t>TO-231</t>
  </si>
  <si>
    <t>POWER &amp; QUAUTY C.A 8336</t>
  </si>
  <si>
    <t>ยี่ห้อ Chauvin Arnoux | S/N 00004251 | นำเข้า 17/11/66 | คลาดเคลื่อน ±1% | สอบเทียบ 1 ครั้ง/ปี</t>
  </si>
  <si>
    <t>TO-232</t>
  </si>
  <si>
    <t>Tachonmeter GM8605</t>
  </si>
  <si>
    <t>ยี่ห้อ BENETECH | S/N 1969932.0 | นำเข้า 24/08/63 | คลาดเคลื่อน ±1% | สอบเทียบ 1 ครั้ง/ปี</t>
  </si>
  <si>
    <t>TO-233</t>
  </si>
  <si>
    <t>HIPOT Tsester</t>
  </si>
  <si>
    <t>ยี่ห้อ HIPOTRONICS | S/N M0002273 | นำเข้า 30/03/55 | คลาดเคลื่อน ±5% | สอบเทียบ 1 ครั้ง/ปี</t>
  </si>
  <si>
    <t>TO-234</t>
  </si>
  <si>
    <t>IR Camera C.A 1950</t>
  </si>
  <si>
    <t>ยี่ห้อ Chauvin Arnoux | S/N 13786QLH | นำเข้า 17/11/66 | คลาดเคลื่อน ±1% | สอบเทียบ 1 ครั้ง/ปี</t>
  </si>
  <si>
    <t>TO-235</t>
  </si>
  <si>
    <t>Insulation Tester 6305IN</t>
  </si>
  <si>
    <t>ยี่ห้อ SEW | S/N 2353191.0 | นำเข้า 05/01/67 | คลาดเคลื่อน ±5% | สอบเทียบ 1 ครั้ง/ปี</t>
  </si>
  <si>
    <t>TO-236</t>
  </si>
  <si>
    <t>Clamp METER 376FC</t>
  </si>
  <si>
    <t>ยี่ห้อ Fluke | S/N 70240057WS | นำเข้า 20/05/69 | คลาดเคลื่อน ±1% | สอบเทียบ 1 ครั้ง/ปี</t>
  </si>
  <si>
    <t>TO-237</t>
  </si>
  <si>
    <t>Earth Clamp UT-278+</t>
  </si>
  <si>
    <t>รอรูป</t>
  </si>
  <si>
    <t>TO-238</t>
  </si>
  <si>
    <t>กางเกงบูทกันน้ำ</t>
  </si>
  <si>
    <t>TO-239</t>
  </si>
  <si>
    <t>ชุดเอี๊ยมกันน้ำ</t>
  </si>
  <si>
    <t>TO-240</t>
  </si>
  <si>
    <t>กางเกงบูทกันน้ำลายทหาร</t>
  </si>
  <si>
    <t>TO-241</t>
  </si>
  <si>
    <t>ตู้เหล็ก</t>
  </si>
  <si>
    <t>รหัส RO-010</t>
  </si>
  <si>
    <t>TO-242</t>
  </si>
  <si>
    <t>ลิ้นชักเหล็ก</t>
  </si>
  <si>
    <t>TO-243</t>
  </si>
  <si>
    <t>EPSON L3250</t>
  </si>
  <si>
    <t>ครุภัณฑ์ Express RO65028</t>
  </si>
  <si>
    <t>TO-244</t>
  </si>
  <si>
    <t>บรรไดเหล็ก</t>
  </si>
  <si>
    <t>TO-245</t>
  </si>
  <si>
    <t>กุญเเจ SOLO</t>
  </si>
  <si>
    <t>TO-246</t>
  </si>
  <si>
    <t>กล่องเครื่องมือ DEWALT TOUGH SYSTEM 2.0 LARGE TOOL BOX</t>
  </si>
  <si>
    <t>ประเด็น</t>
  </si>
  <si>
    <t>ชีตต้นทาง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</si>
</sst>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d/m/yyyy h:mm:ss"/>
    <numFmt numFmtId="166" formatCode="dd/mm/yyyy h:mm:ss"/>
  </numFmts>
  <fonts count="14">
    <font>
      <sz val="11.0"/>
      <color theme="1"/>
      <name val="Calibri"/>
      <scheme val="minor"/>
    </font>
    <font>
      <b/>
      <sz val="14.0"/>
      <color theme="1"/>
      <name val="Sarabun"/>
    </font>
    <font>
      <b/>
      <sz val="12.0"/>
      <color theme="1"/>
      <name val="Sarabun"/>
    </font>
    <font>
      <sz val="12.0"/>
      <color theme="1"/>
      <name val="Sarabun"/>
    </font>
    <font>
      <b/>
      <color theme="1"/>
      <name val="Sarabun"/>
    </font>
    <font>
      <sz val="14.0"/>
      <color theme="1"/>
      <name val="Sarabun"/>
    </font>
    <font>
      <color theme="1"/>
      <name val="Sarabun"/>
    </font>
    <font>
      <b/>
      <color theme="1"/>
      <name val="Calibri"/>
      <scheme val="minor"/>
    </font>
    <font>
      <color theme="1"/>
      <name val="Calibri"/>
      <scheme val="minor"/>
    </font>
    <font>
      <u/>
      <sz val="14.0"/>
      <color rgb="FF0000FF"/>
      <name val="Sarabun"/>
    </font>
    <font>
      <b/>
      <sz val="14.0"/>
      <color theme="1"/>
      <name val="Arial"/>
    </font>
    <font>
      <sz val="14.0"/>
      <color theme="1"/>
      <name val="Arial"/>
    </font>
    <font>
      <sz val="14.0"/>
      <color theme="1"/>
      <name val="Calibri"/>
      <scheme val="minor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3F4F6"/>
        <bgColor rgb="FFF3F4F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3" fontId="1" numFmtId="0" xfId="0" applyAlignment="1" applyBorder="1" applyFill="1" applyFont="1">
      <alignment horizontal="center" shrinkToFit="0" vertical="top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shrinkToFit="0" vertical="top" wrapText="0"/>
    </xf>
    <xf borderId="1" fillId="3" fontId="1" numFmtId="0" xfId="0" applyAlignment="1" applyBorder="1" applyFill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 shrinkToFit="0" vertical="top" wrapText="0"/>
    </xf>
    <xf borderId="1" fillId="4" fontId="1" numFmtId="0" xfId="0" applyAlignment="1" applyBorder="1" applyFill="1" applyFont="1">
      <alignment horizontal="center" readingOrder="0" shrinkToFit="0" vertical="top" wrapText="0"/>
    </xf>
    <xf borderId="1" fillId="3" fontId="5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3" fontId="6" numFmtId="164" xfId="0" applyAlignment="1" applyBorder="1" applyFill="1" applyFont="1" applyNumberFormat="1">
      <alignment horizontal="center" readingOrder="0"/>
    </xf>
    <xf borderId="1" fillId="3" fontId="5" numFmtId="165" xfId="0" applyAlignment="1" applyBorder="1" applyFill="1" applyFont="1" applyNumberFormat="1">
      <alignment horizontal="center" readingOrder="0"/>
    </xf>
    <xf borderId="1" fillId="3" fontId="6" numFmtId="0" xfId="0" applyAlignment="1" applyBorder="1" applyFill="1" applyFon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1" fillId="5" fontId="7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3" fontId="5" numFmtId="165" xfId="0" applyAlignment="1" applyFill="1" applyFont="1" applyNumberFormat="1">
      <alignment horizontal="center" readingOrder="0"/>
    </xf>
    <xf borderId="0" fillId="0" fontId="8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3" fontId="5" numFmtId="0" xfId="0" applyAlignment="1" applyFill="1" applyFont="1">
      <alignment horizontal="center" readingOrder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166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0" fillId="5" fontId="7" numFmtId="0" xfId="0" applyAlignment="1" applyFill="1" applyFont="1">
      <alignment horizontal="center" readingOrder="0"/>
    </xf>
    <xf borderId="1" fillId="4" fontId="10" numFmtId="0" xfId="0" applyAlignment="1" applyBorder="1" applyFill="1" applyFont="1">
      <alignment horizontal="center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12" numFmtId="0" xfId="0" applyAlignment="1" applyFont="1">
      <alignment readingOrder="0"/>
    </xf>
    <xf borderId="2" fillId="4" fontId="13" numFmtId="0" xfId="0" applyAlignment="1" applyBorder="1" applyFill="1" applyFont="1">
      <alignment horizontal="center" shrinkToFit="0" vertical="top" wrapText="0"/>
    </xf>
    <xf quotePrefix="1" borderId="1" fillId="0" fontId="5" numFmtId="0" xfId="0" applyAlignment="1" applyBorder="1" applyFont="1">
      <alignment horizontal="center" readingOrder="0" shrinkToFit="0" vertical="center" wrapText="0"/>
    </xf>
    <xf borderId="1" fillId="0" fontId="1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shrinkToFit="0" vertical="top" wrapText="0"/>
    </xf>
    <xf borderId="1" fillId="0" fontId="5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center" readingOrder="0" shrinkToFit="0" vertical="top" wrapText="0"/>
    </xf>
    <xf quotePrefix="1" borderId="0" fillId="0" fontId="5" numFmtId="0" xfId="0" applyAlignment="1" applyFont="1">
      <alignment horizontal="center" readingOrder="0" shrinkToFit="0" vertical="top" wrapText="0"/>
    </xf>
    <xf borderId="0" fillId="0" fontId="5" numFmtId="0" xfId="0" applyAlignment="1" applyFont="1">
      <alignment horizontal="center" shrinkToFit="0" vertical="center" wrapText="0"/>
    </xf>
    <xf borderId="0" fillId="0" fontId="5" numFmtId="166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ตรวจสอบข้อมูล (นำเข้า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t-btt001" id="{ed84149d-02ca-4b3a-aa07-a4e44e7e581b}" providerId="google-sheets"/>
  <x18tc:person displayName="SAHARAT INTAVIRA" id="{ff9f5c36-37d3-44e5-a530-4aa9364a72eb}" providerId="google-sheets"/>
</x18tc:personList>
</file>

<file path=xl/tables/table1.xml><?xml version="1.0" encoding="utf-8"?>
<table xmlns="http://schemas.openxmlformats.org/spreadsheetml/2006/main" ref="A1:E84" displayName="ตาราง1" name="ตาราง1" id="1">
  <tableColumns count="5">
    <tableColumn name="ประเด็น" id="1"/>
    <tableColumn name="ชีตต้นทาง" id="2"/>
    <tableColumn name="รหัส" id="3"/>
    <tableColumn name="ชื่อรายการ" id="4"/>
    <tableColumn name="รายละเอียด" id="5"/>
  </tableColumns>
  <tableStyleInfo name="ตรวจสอบข้อมูล (นำเข้า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3:03:41.00" personId="{ed84149d-02ca-4b3a-aa07-a4e44e7e581b}" id="{f62069bd-73f5-4a1d-bdb7-9160a4727de2}" done="0">
    <x18tc:text xml:space="preserve">//Todo: หาวิธีนำรูปมาเเสดง</x18tc:text>
  </x18tc:threadedComment>
  <x18tc:threadedComment ref="A1" dT="2026-10-05T02:40:27.00" personId="{ed84149d-02ca-4b3a-aa07-a4e44e7e581b}" id="{4e0d7376-91b9-4614-99f4-62c60500456f}" done="0">
    <x18tc:text xml:space="preserve">ชีตทะเบียนอุปกรณ์หลัก หนึ่งแถวต่อหนึ่งรายการ เก็บรหัส ชื่อ หมวดหมู่ สถานที่ จำนวน (BTT/TKE) Stock Min/Max ราคา สถานะ และหมายเหตุ หน้าเว็บอ่านข้อมูลจากชีตนี้ทั้งหมด และปุ่ม เพิ่ม/แก้ไข/ลบ ก็เขียนลงชีตนี้ คุณแก้ตรงในชีตได้เหมือนกัน (เช่น ใส่ราคา หรือตั้ง Min) แล้วกดรีเฟรชในหน้าเว็บ</x18tc:text>
  </x18tc:threadedComment>
  <x18tc:threadedComment ref="C1" dT="2026-10-06T04:59:56.00" personId="{ed84149d-02ca-4b3a-aa07-a4e44e7e581b}" id="{c876dfac-de92-44f0-a453-a2ecd427bba1}" done="0">
    <x18tc:text xml:space="preserve">UPLOAD_PICTURE:
https://github.com/kxma-blazi/btt-Equipment/tree/main/</x18tc:text>
    <x18tc:extLst>
      <ext uri="{F7C98A9C-CBB3-438F-8F68-D28B6AF4A901}">
        <xltc2:checksum/>
        <xltc2:hyperlink startIndex="16" length="54" url="https://github.com/kxma-blazi/btt-Equipment/tree/main/"/>
      </ext>
    </x18tc:extLst>
  </x18tc:threadedComment>
  <x18tc:threadedComment ref="C2" dT="2026-10-08T09:11:57.00" personId="{ed84149d-02ca-4b3a-aa07-a4e44e7e581b}" id="{035637b7-4e2f-40f5-be49-d0b5c562c0d3}" done="0">
    <x18tc:text xml:space="preserve">//Todo: รอพี่ ENG มาก่อนเเล้วค่อยถ่ายรูป</x18tc:text>
  </x18tc:threadedComment>
  <x18tc:threadedComment ref="D2" dT="2026-10-20T07:37:34.00" personId="{ed84149d-02ca-4b3a-aa07-a4e44e7e581b}" id="{bebfa1e8-f4ae-4dd7-aef2-c198a342dc86}" done="0">
    <x18tc:text xml:space="preserve">TOL-001 &gt; TOL-999</x18tc:text>
  </x18tc:threadedComment>
  <x18tc:threadedComment ref="A29" dT="2026-10-21T01:59:37.00" personId="{ff9f5c36-37d3-44e5-a530-4aa9364a72eb}" id="{c75914b5-2068-46a6-9cdc-4168149aaccd}" done="0">
    <x18tc:text xml:space="preserve">Data ไม่ตรง</x18tc:text>
  </x18tc:threadedComment>
  <x18tc:threadedComment ref="A30" dT="2026-10-21T01:59:57.00" personId="{ff9f5c36-37d3-44e5-a530-4aa9364a72eb}" id="{02f9a16b-aa23-43a7-824f-47bd556f21c3}" done="0">
    <x18tc:text xml:space="preserve">Data ไม่ตรง</x18tc:text>
  </x18tc:threadedComment>
  <x18tc:threadedComment ref="D1" dT="2026-10-21T02:09:58.00" personId="{ff9f5c36-37d3-44e5-a530-4aa9364a72eb}" id="{0e32befc-5312-4089-adf7-10fa4071df70}" done="0">
    <x18tc:text xml:space="preserve">ปรับข้อมูลเลขรหัสให้เหมือนอันเดิม &gt; ค่อยไปเเก้ไขชื่อรูปใน Github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0:56.00" personId="{ed84149d-02ca-4b3a-aa07-a4e44e7e581b}" id="{ae82d0f9-fc8e-4ace-9f37-ec8a291db2ce}" done="0">
    <x18tc:text xml:space="preserve">ชีตบันทึกการเบิก/ยืม เมื่อกด "ยืนยันการยืม" ในหน้าเว็บ ระบบจะเพิ่มแถวใหม่ที่นี่ (รหัส โครงการ จำนวน วันที่เบิก ผู้เบิก สถานที่) ช่อง "วันที่คืน" จะเป็น "-" จนกว่าจะกดปุ่ม "คืน" ซึ่งระบบจะใส่วันที่ให้ ระบบใช้ชีตนี้คำนวณว่าอุปกรณ์ชิ้นไหนถูกยืมอยู่ จึงว่างอยู่ตอนนี้ตามปกติเพราะยังไม่มีการยืมจริง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1:40.00" personId="{ed84149d-02ca-4b3a-aa07-a4e44e7e581b}" id="{e2027c40-7e39-44ca-90b2-5197d071739d}" done="0">
    <x18tc:text xml:space="preserve">ชีตรายชื่อหมวดหมู่ ใช้เป็นตัวเลือกใน dropdown และ datalist ตอนเพิ่มรายการ ระบบเพิ่มหมวดใหม่ให้อัตโนมัติเมื่อคุณพิมพ์หมวดที่ยังไม่มี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1:16.00" personId="{ed84149d-02ca-4b3a-aa07-a4e44e7e581b}" id="{bc7748a1-6423-49cd-9ea1-3f7ffce066f0}" done="0">
    <x18tc:text xml:space="preserve">ชีตประวัติกิจกรรม ระบบเขียนให้เองทุกครั้งที่เพิ่ม แก้ ลบ ยืม หรือคืน และแสดงในแท็บ "ประวัติกิจกรรม" ไม่ต้องกรอกเอง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2:24.00" personId="{ed84149d-02ca-4b3a-aa07-a4e44e7e581b}" id="{1872871e-fc88-4efd-ad1b-043d79c3150d}" done="0">
    <x18tc:text xml:space="preserve">ขีต รายชื่อสถานที่จัดเก็บ ทำงานแบบเดียวกับ Categories ในภาพจะเห็นว่าชื่อยาวถูกตัด ลองขยายความกว้างคอลัมน์ A ได้ ไม่มีผลต่อระบบ รายชื่อสถานที่บางรายการที่ผมนำเข้ายาวและละเอียดมาก (เช่น "อาคาร 212/3 ชั้น 1 (โต๊ะน้องส้ม)") ถ้าอยากให้สั้นลง ให้แก้ในชีต Asset คอลัมน์ G แล้วลบรายการเก่าในชีตนี้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32.0"/>
    <col customWidth="1" min="3" max="3" width="19.29"/>
    <col customWidth="1" min="4" max="4" width="15.57"/>
    <col customWidth="1" min="5" max="5" width="60.14"/>
    <col customWidth="1" min="6" max="6" width="22.0"/>
    <col customWidth="1" min="7" max="7" width="37.14"/>
    <col customWidth="1" min="8" max="10" width="13.29"/>
    <col customWidth="1" min="11" max="13" width="9.0"/>
    <col customWidth="1" min="14" max="15" width="22.0"/>
    <col customWidth="1" min="16" max="16" width="50.0"/>
  </cols>
  <sheetData>
    <row r="1" ht="34.5" customHeight="1">
      <c r="A1" s="2" t="s">
        <v>0</v>
      </c>
      <c r="B1" s="5" t="s">
        <v>4</v>
      </c>
      <c r="C1" s="2" t="s">
        <v>9</v>
      </c>
      <c r="D1" s="5" t="s">
        <v>3</v>
      </c>
      <c r="E1" s="2" t="s">
        <v>14</v>
      </c>
      <c r="F1" s="5" t="s">
        <v>19</v>
      </c>
      <c r="G1" s="2" t="s">
        <v>23</v>
      </c>
      <c r="H1" s="5" t="s">
        <v>25</v>
      </c>
      <c r="I1" s="5" t="s">
        <v>28</v>
      </c>
      <c r="J1" s="5" t="s">
        <v>31</v>
      </c>
      <c r="K1" s="5" t="s">
        <v>35</v>
      </c>
      <c r="L1" s="5" t="s">
        <v>37</v>
      </c>
      <c r="M1" s="2" t="s">
        <v>40</v>
      </c>
      <c r="N1" s="5" t="s">
        <v>33</v>
      </c>
      <c r="O1" s="5" t="s">
        <v>41</v>
      </c>
      <c r="P1" s="5" t="s">
        <v>43</v>
      </c>
    </row>
    <row r="2" ht="140.25" customHeight="1">
      <c r="A2" s="30" t="str">
        <f t="shared" ref="A2:A241" si="1">IF( $D2="","",IMAGE("https://api.qrserver.com/v1/create-qr-code/?size=150x150&amp;data="&amp;ENCODEURL("https://script.google.com/macros/s/AKfycbxrk7oFoLSWSeAHj1H83FvlYWK_XXZmpPZ3zJYHzPTeDONa1CP2wXeWsuIrh9Kf11i7/exec?code="&amp;$D2)))</f>
        <v/>
      </c>
      <c r="B2" s="31">
        <v>46316.3852662037</v>
      </c>
      <c r="C2" s="32" t="str">
        <f t="shared" ref="C2:C247" si="2">IF($D2="","",IMAGE("https://raw.githubusercontent.com/kxma-blazi/btt-Equipment/main/"&amp;ENCODEURL($D2)&amp;"/"&amp;ENCODEURL($D2)&amp;".jpg"))</f>
        <v/>
      </c>
      <c r="D2" s="33" t="s">
        <v>78</v>
      </c>
      <c r="E2" s="33" t="s">
        <v>80</v>
      </c>
      <c r="F2" s="33" t="s">
        <v>81</v>
      </c>
      <c r="G2" s="33" t="s">
        <v>82</v>
      </c>
      <c r="H2" s="34">
        <v>1.0</v>
      </c>
      <c r="I2" s="33">
        <v>1.0</v>
      </c>
      <c r="J2" s="34">
        <v>0.0</v>
      </c>
      <c r="K2" s="34">
        <v>0.0</v>
      </c>
      <c r="L2" s="34">
        <v>0.0</v>
      </c>
      <c r="M2" s="34">
        <v>0.0</v>
      </c>
      <c r="N2" s="33" t="s">
        <v>83</v>
      </c>
      <c r="O2" s="33" t="s">
        <v>84</v>
      </c>
      <c r="P2" s="33" t="s">
        <v>85</v>
      </c>
    </row>
    <row r="3" ht="47.25" customHeight="1">
      <c r="A3" s="30" t="str">
        <f t="shared" si="1"/>
        <v/>
      </c>
      <c r="B3" s="31">
        <v>46316.3858912037</v>
      </c>
      <c r="C3" s="32" t="str">
        <f t="shared" si="2"/>
        <v/>
      </c>
      <c r="D3" s="33" t="s">
        <v>86</v>
      </c>
      <c r="E3" s="33" t="s">
        <v>87</v>
      </c>
      <c r="F3" s="33" t="s">
        <v>81</v>
      </c>
      <c r="G3" s="33" t="s">
        <v>82</v>
      </c>
      <c r="H3" s="34">
        <v>1.0</v>
      </c>
      <c r="I3" s="33">
        <v>1.0</v>
      </c>
      <c r="J3" s="34">
        <v>0.0</v>
      </c>
      <c r="K3" s="34">
        <v>1.0</v>
      </c>
      <c r="L3" s="34">
        <v>0.0</v>
      </c>
      <c r="M3" s="30">
        <f t="shared" ref="M3:M241" si="3">SUM(K3:L3)</f>
        <v>1</v>
      </c>
      <c r="N3" s="33" t="s">
        <v>88</v>
      </c>
      <c r="O3" s="30" t="str">
        <f t="shared" ref="O3:O241" si="4">IF(I3&gt;0,IF(M3&lt;=I3,"ต้องซื้อเพิ่ม","เพียงพอ"),"เพียงพอ")</f>
        <v>ต้องซื้อเพิ่ม</v>
      </c>
      <c r="P3" s="33" t="s">
        <v>89</v>
      </c>
    </row>
    <row r="4" ht="47.25" customHeight="1">
      <c r="A4" s="30" t="str">
        <f t="shared" si="1"/>
        <v/>
      </c>
      <c r="B4" s="35">
        <v>46316.38681712963</v>
      </c>
      <c r="C4" s="32" t="str">
        <f t="shared" si="2"/>
        <v/>
      </c>
      <c r="D4" s="33" t="s">
        <v>90</v>
      </c>
      <c r="E4" s="33" t="s">
        <v>91</v>
      </c>
      <c r="F4" s="33" t="s">
        <v>81</v>
      </c>
      <c r="G4" s="33" t="s">
        <v>82</v>
      </c>
      <c r="H4" s="34">
        <v>2.0</v>
      </c>
      <c r="I4" s="33">
        <v>1.0</v>
      </c>
      <c r="J4" s="34">
        <v>0.0</v>
      </c>
      <c r="K4" s="34">
        <v>2.0</v>
      </c>
      <c r="L4" s="34">
        <v>0.0</v>
      </c>
      <c r="M4" s="30">
        <f t="shared" si="3"/>
        <v>2</v>
      </c>
      <c r="N4" s="33" t="s">
        <v>88</v>
      </c>
      <c r="O4" s="30" t="str">
        <f t="shared" si="4"/>
        <v>เพียงพอ</v>
      </c>
      <c r="P4" s="33" t="s">
        <v>92</v>
      </c>
    </row>
    <row r="5" ht="47.25" customHeight="1">
      <c r="A5" s="30" t="str">
        <f t="shared" si="1"/>
        <v/>
      </c>
      <c r="B5" s="31">
        <v>46316.38773148148</v>
      </c>
      <c r="C5" s="32" t="str">
        <f t="shared" si="2"/>
        <v/>
      </c>
      <c r="D5" s="33" t="s">
        <v>93</v>
      </c>
      <c r="E5" s="33" t="s">
        <v>94</v>
      </c>
      <c r="F5" s="33" t="s">
        <v>81</v>
      </c>
      <c r="G5" s="33" t="s">
        <v>82</v>
      </c>
      <c r="H5" s="34">
        <v>1.0</v>
      </c>
      <c r="I5" s="33">
        <v>1.0</v>
      </c>
      <c r="J5" s="34">
        <v>0.0</v>
      </c>
      <c r="K5" s="34">
        <v>1.0</v>
      </c>
      <c r="L5" s="34">
        <v>0.0</v>
      </c>
      <c r="M5" s="30">
        <f t="shared" si="3"/>
        <v>1</v>
      </c>
      <c r="N5" s="33" t="s">
        <v>88</v>
      </c>
      <c r="O5" s="30" t="str">
        <f t="shared" si="4"/>
        <v>ต้องซื้อเพิ่ม</v>
      </c>
      <c r="P5" s="33" t="s">
        <v>95</v>
      </c>
    </row>
    <row r="6" ht="47.25" customHeight="1">
      <c r="A6" s="30" t="str">
        <f t="shared" si="1"/>
        <v/>
      </c>
      <c r="B6" s="35">
        <v>46316.38825231481</v>
      </c>
      <c r="C6" s="32" t="str">
        <f t="shared" si="2"/>
        <v/>
      </c>
      <c r="D6" s="33" t="s">
        <v>96</v>
      </c>
      <c r="E6" s="33" t="s">
        <v>97</v>
      </c>
      <c r="F6" s="33" t="s">
        <v>81</v>
      </c>
      <c r="G6" s="33" t="s">
        <v>82</v>
      </c>
      <c r="H6" s="34">
        <v>1.0</v>
      </c>
      <c r="I6" s="33">
        <v>1.0</v>
      </c>
      <c r="J6" s="34">
        <v>0.0</v>
      </c>
      <c r="K6" s="34">
        <v>1.0</v>
      </c>
      <c r="L6" s="34">
        <v>0.0</v>
      </c>
      <c r="M6" s="30">
        <f t="shared" si="3"/>
        <v>1</v>
      </c>
      <c r="N6" s="33" t="s">
        <v>88</v>
      </c>
      <c r="O6" s="30" t="str">
        <f t="shared" si="4"/>
        <v>ต้องซื้อเพิ่ม</v>
      </c>
      <c r="P6" s="33" t="s">
        <v>98</v>
      </c>
    </row>
    <row r="7" ht="47.25" customHeight="1">
      <c r="A7" s="30" t="str">
        <f t="shared" si="1"/>
        <v/>
      </c>
      <c r="B7" s="35">
        <v>46315.72420138889</v>
      </c>
      <c r="C7" s="32" t="str">
        <f t="shared" si="2"/>
        <v/>
      </c>
      <c r="D7" s="33" t="s">
        <v>99</v>
      </c>
      <c r="E7" s="33" t="s">
        <v>100</v>
      </c>
      <c r="F7" s="33" t="s">
        <v>81</v>
      </c>
      <c r="G7" s="33" t="s">
        <v>82</v>
      </c>
      <c r="H7" s="34">
        <v>1.0</v>
      </c>
      <c r="I7" s="33">
        <v>0.0</v>
      </c>
      <c r="J7" s="34">
        <v>0.0</v>
      </c>
      <c r="K7" s="34">
        <v>1.0</v>
      </c>
      <c r="L7" s="34">
        <v>0.0</v>
      </c>
      <c r="M7" s="30">
        <f t="shared" si="3"/>
        <v>1</v>
      </c>
      <c r="N7" s="33" t="s">
        <v>88</v>
      </c>
      <c r="O7" s="30" t="str">
        <f t="shared" si="4"/>
        <v>เพียงพอ</v>
      </c>
      <c r="P7" s="33" t="s">
        <v>101</v>
      </c>
    </row>
    <row r="8" ht="47.25" customHeight="1">
      <c r="A8" s="30" t="str">
        <f t="shared" si="1"/>
        <v/>
      </c>
      <c r="B8" s="35">
        <v>46315.72439814815</v>
      </c>
      <c r="C8" s="32" t="str">
        <f t="shared" si="2"/>
        <v/>
      </c>
      <c r="D8" s="33" t="s">
        <v>102</v>
      </c>
      <c r="E8" s="33" t="s">
        <v>103</v>
      </c>
      <c r="F8" s="33" t="s">
        <v>81</v>
      </c>
      <c r="G8" s="33" t="s">
        <v>82</v>
      </c>
      <c r="H8" s="34">
        <v>4.0</v>
      </c>
      <c r="I8" s="33">
        <v>0.0</v>
      </c>
      <c r="J8" s="34">
        <v>0.0</v>
      </c>
      <c r="K8" s="34">
        <v>4.0</v>
      </c>
      <c r="L8" s="34">
        <v>0.0</v>
      </c>
      <c r="M8" s="30">
        <f t="shared" si="3"/>
        <v>4</v>
      </c>
      <c r="N8" s="33" t="s">
        <v>88</v>
      </c>
      <c r="O8" s="30" t="str">
        <f t="shared" si="4"/>
        <v>เพียงพอ</v>
      </c>
      <c r="P8" s="33" t="s">
        <v>104</v>
      </c>
    </row>
    <row r="9" ht="47.25" customHeight="1">
      <c r="A9" s="30" t="str">
        <f t="shared" si="1"/>
        <v/>
      </c>
      <c r="B9" s="35">
        <v>46315.72461805555</v>
      </c>
      <c r="C9" s="32" t="str">
        <f t="shared" si="2"/>
        <v/>
      </c>
      <c r="D9" s="33" t="s">
        <v>105</v>
      </c>
      <c r="E9" s="33" t="s">
        <v>106</v>
      </c>
      <c r="F9" s="33" t="s">
        <v>81</v>
      </c>
      <c r="G9" s="33" t="s">
        <v>82</v>
      </c>
      <c r="H9" s="34">
        <v>1.0</v>
      </c>
      <c r="I9" s="33">
        <v>0.0</v>
      </c>
      <c r="J9" s="34">
        <v>0.0</v>
      </c>
      <c r="K9" s="34">
        <v>1.0</v>
      </c>
      <c r="L9" s="34">
        <v>0.0</v>
      </c>
      <c r="M9" s="30">
        <f t="shared" si="3"/>
        <v>1</v>
      </c>
      <c r="N9" s="33" t="s">
        <v>88</v>
      </c>
      <c r="O9" s="30" t="str">
        <f t="shared" si="4"/>
        <v>เพียงพอ</v>
      </c>
      <c r="P9" s="33" t="s">
        <v>107</v>
      </c>
    </row>
    <row r="10" ht="47.25" customHeight="1">
      <c r="A10" s="30" t="str">
        <f t="shared" si="1"/>
        <v/>
      </c>
      <c r="B10" s="35">
        <v>46315.724814814814</v>
      </c>
      <c r="C10" s="32" t="str">
        <f t="shared" si="2"/>
        <v/>
      </c>
      <c r="D10" s="33" t="s">
        <v>108</v>
      </c>
      <c r="E10" s="33" t="s">
        <v>109</v>
      </c>
      <c r="F10" s="33" t="s">
        <v>81</v>
      </c>
      <c r="G10" s="33" t="s">
        <v>82</v>
      </c>
      <c r="H10" s="34">
        <v>2.0</v>
      </c>
      <c r="I10" s="33">
        <v>0.0</v>
      </c>
      <c r="J10" s="34">
        <v>0.0</v>
      </c>
      <c r="K10" s="34">
        <v>2.0</v>
      </c>
      <c r="L10" s="34">
        <v>0.0</v>
      </c>
      <c r="M10" s="30">
        <f t="shared" si="3"/>
        <v>2</v>
      </c>
      <c r="N10" s="33" t="s">
        <v>88</v>
      </c>
      <c r="O10" s="30" t="str">
        <f t="shared" si="4"/>
        <v>เพียงพอ</v>
      </c>
      <c r="P10" s="33" t="s">
        <v>110</v>
      </c>
    </row>
    <row r="11" ht="47.25" customHeight="1">
      <c r="A11" s="30" t="str">
        <f t="shared" si="1"/>
        <v/>
      </c>
      <c r="B11" s="35">
        <v>46315.72497685185</v>
      </c>
      <c r="C11" s="32" t="str">
        <f t="shared" si="2"/>
        <v/>
      </c>
      <c r="D11" s="33" t="s">
        <v>111</v>
      </c>
      <c r="E11" s="33" t="s">
        <v>103</v>
      </c>
      <c r="F11" s="33" t="s">
        <v>81</v>
      </c>
      <c r="G11" s="33" t="s">
        <v>82</v>
      </c>
      <c r="H11" s="34">
        <v>1.0</v>
      </c>
      <c r="I11" s="33">
        <v>0.0</v>
      </c>
      <c r="J11" s="34">
        <v>0.0</v>
      </c>
      <c r="K11" s="34">
        <v>1.0</v>
      </c>
      <c r="L11" s="34">
        <v>0.0</v>
      </c>
      <c r="M11" s="30">
        <f t="shared" si="3"/>
        <v>1</v>
      </c>
      <c r="N11" s="33" t="s">
        <v>88</v>
      </c>
      <c r="O11" s="30" t="str">
        <f t="shared" si="4"/>
        <v>เพียงพอ</v>
      </c>
      <c r="P11" s="33" t="s">
        <v>112</v>
      </c>
    </row>
    <row r="12" ht="47.25" customHeight="1">
      <c r="A12" s="30" t="str">
        <f t="shared" si="1"/>
        <v/>
      </c>
      <c r="B12" s="35">
        <v>46315.72570601852</v>
      </c>
      <c r="C12" s="32" t="str">
        <f t="shared" si="2"/>
        <v/>
      </c>
      <c r="D12" s="33" t="s">
        <v>113</v>
      </c>
      <c r="E12" s="33" t="s">
        <v>114</v>
      </c>
      <c r="F12" s="33" t="s">
        <v>81</v>
      </c>
      <c r="G12" s="33" t="s">
        <v>82</v>
      </c>
      <c r="H12" s="34">
        <v>1.0</v>
      </c>
      <c r="I12" s="33">
        <v>0.0</v>
      </c>
      <c r="J12" s="34">
        <v>0.0</v>
      </c>
      <c r="K12" s="34">
        <v>1.0</v>
      </c>
      <c r="L12" s="34">
        <v>0.0</v>
      </c>
      <c r="M12" s="30">
        <f t="shared" si="3"/>
        <v>1</v>
      </c>
      <c r="N12" s="33" t="s">
        <v>88</v>
      </c>
      <c r="O12" s="30" t="str">
        <f t="shared" si="4"/>
        <v>เพียงพอ</v>
      </c>
      <c r="P12" s="33" t="s">
        <v>115</v>
      </c>
    </row>
    <row r="13" ht="47.25" customHeight="1">
      <c r="A13" s="30" t="str">
        <f t="shared" si="1"/>
        <v/>
      </c>
      <c r="B13" s="35">
        <v>46315.725381944445</v>
      </c>
      <c r="C13" s="32" t="str">
        <f t="shared" si="2"/>
        <v/>
      </c>
      <c r="D13" s="33" t="s">
        <v>116</v>
      </c>
      <c r="E13" s="33" t="s">
        <v>117</v>
      </c>
      <c r="F13" s="33" t="s">
        <v>81</v>
      </c>
      <c r="G13" s="33" t="s">
        <v>82</v>
      </c>
      <c r="H13" s="34">
        <v>1.0</v>
      </c>
      <c r="I13" s="33">
        <v>0.0</v>
      </c>
      <c r="J13" s="34">
        <v>0.0</v>
      </c>
      <c r="K13" s="34">
        <v>1.0</v>
      </c>
      <c r="L13" s="34">
        <v>0.0</v>
      </c>
      <c r="M13" s="30">
        <f t="shared" si="3"/>
        <v>1</v>
      </c>
      <c r="N13" s="33" t="s">
        <v>88</v>
      </c>
      <c r="O13" s="30" t="str">
        <f t="shared" si="4"/>
        <v>เพียงพอ</v>
      </c>
      <c r="P13" s="33" t="s">
        <v>118</v>
      </c>
    </row>
    <row r="14" ht="47.25" customHeight="1">
      <c r="A14" s="30" t="str">
        <f t="shared" si="1"/>
        <v/>
      </c>
      <c r="B14" s="35">
        <v>46315.726064814815</v>
      </c>
      <c r="C14" s="32" t="str">
        <f t="shared" si="2"/>
        <v/>
      </c>
      <c r="D14" s="33" t="s">
        <v>119</v>
      </c>
      <c r="E14" s="33" t="s">
        <v>120</v>
      </c>
      <c r="F14" s="33" t="s">
        <v>81</v>
      </c>
      <c r="G14" s="33" t="s">
        <v>82</v>
      </c>
      <c r="H14" s="34">
        <v>2.0</v>
      </c>
      <c r="I14" s="33">
        <v>0.0</v>
      </c>
      <c r="J14" s="34">
        <v>0.0</v>
      </c>
      <c r="K14" s="34">
        <v>2.0</v>
      </c>
      <c r="L14" s="34">
        <v>0.0</v>
      </c>
      <c r="M14" s="30">
        <f t="shared" si="3"/>
        <v>2</v>
      </c>
      <c r="N14" s="33" t="s">
        <v>88</v>
      </c>
      <c r="O14" s="30" t="str">
        <f t="shared" si="4"/>
        <v>เพียงพอ</v>
      </c>
      <c r="P14" s="33" t="s">
        <v>121</v>
      </c>
    </row>
    <row r="15" ht="47.25" customHeight="1">
      <c r="A15" s="30" t="str">
        <f t="shared" si="1"/>
        <v/>
      </c>
      <c r="B15" s="35">
        <v>46315.72642361111</v>
      </c>
      <c r="C15" s="32" t="str">
        <f t="shared" si="2"/>
        <v/>
      </c>
      <c r="D15" s="33" t="s">
        <v>122</v>
      </c>
      <c r="E15" s="33" t="s">
        <v>120</v>
      </c>
      <c r="F15" s="33" t="s">
        <v>81</v>
      </c>
      <c r="G15" s="33" t="s">
        <v>82</v>
      </c>
      <c r="H15" s="34">
        <v>1.0</v>
      </c>
      <c r="I15" s="33">
        <v>0.0</v>
      </c>
      <c r="J15" s="34">
        <v>0.0</v>
      </c>
      <c r="K15" s="34">
        <v>1.0</v>
      </c>
      <c r="L15" s="34">
        <v>0.0</v>
      </c>
      <c r="M15" s="30">
        <f t="shared" si="3"/>
        <v>1</v>
      </c>
      <c r="N15" s="33" t="s">
        <v>88</v>
      </c>
      <c r="O15" s="30" t="str">
        <f t="shared" si="4"/>
        <v>เพียงพอ</v>
      </c>
      <c r="P15" s="33" t="s">
        <v>123</v>
      </c>
    </row>
    <row r="16" ht="47.25" customHeight="1">
      <c r="A16" s="30" t="str">
        <f t="shared" si="1"/>
        <v/>
      </c>
      <c r="B16" s="35">
        <v>46315.72693287037</v>
      </c>
      <c r="C16" s="32" t="str">
        <f t="shared" si="2"/>
        <v/>
      </c>
      <c r="D16" s="33" t="s">
        <v>124</v>
      </c>
      <c r="E16" s="33" t="s">
        <v>125</v>
      </c>
      <c r="F16" s="33" t="s">
        <v>81</v>
      </c>
      <c r="G16" s="33" t="s">
        <v>82</v>
      </c>
      <c r="H16" s="34">
        <v>1.0</v>
      </c>
      <c r="I16" s="33">
        <v>0.0</v>
      </c>
      <c r="J16" s="34">
        <v>0.0</v>
      </c>
      <c r="K16" s="34">
        <v>1.0</v>
      </c>
      <c r="L16" s="34">
        <v>0.0</v>
      </c>
      <c r="M16" s="30">
        <f t="shared" si="3"/>
        <v>1</v>
      </c>
      <c r="N16" s="33" t="s">
        <v>88</v>
      </c>
      <c r="O16" s="30" t="str">
        <f t="shared" si="4"/>
        <v>เพียงพอ</v>
      </c>
      <c r="P16" s="33"/>
    </row>
    <row r="17" ht="47.25" customHeight="1">
      <c r="A17" s="30" t="str">
        <f t="shared" si="1"/>
        <v/>
      </c>
      <c r="B17" s="35">
        <v>46315.727268518516</v>
      </c>
      <c r="C17" s="32" t="str">
        <f t="shared" si="2"/>
        <v/>
      </c>
      <c r="D17" s="33" t="s">
        <v>126</v>
      </c>
      <c r="E17" s="33" t="s">
        <v>127</v>
      </c>
      <c r="F17" s="33" t="s">
        <v>81</v>
      </c>
      <c r="G17" s="33" t="s">
        <v>82</v>
      </c>
      <c r="H17" s="34">
        <v>1.0</v>
      </c>
      <c r="I17" s="33">
        <v>0.0</v>
      </c>
      <c r="J17" s="34">
        <v>0.0</v>
      </c>
      <c r="K17" s="34">
        <v>1.0</v>
      </c>
      <c r="L17" s="34">
        <v>0.0</v>
      </c>
      <c r="M17" s="30">
        <f t="shared" si="3"/>
        <v>1</v>
      </c>
      <c r="N17" s="33" t="s">
        <v>88</v>
      </c>
      <c r="O17" s="30" t="str">
        <f t="shared" si="4"/>
        <v>เพียงพอ</v>
      </c>
      <c r="P17" s="33" t="s">
        <v>128</v>
      </c>
    </row>
    <row r="18" ht="47.25" customHeight="1">
      <c r="A18" s="30" t="str">
        <f t="shared" si="1"/>
        <v/>
      </c>
      <c r="B18" s="35">
        <v>46315.72752314815</v>
      </c>
      <c r="C18" s="32" t="str">
        <f t="shared" si="2"/>
        <v/>
      </c>
      <c r="D18" s="33" t="s">
        <v>129</v>
      </c>
      <c r="E18" s="33" t="s">
        <v>130</v>
      </c>
      <c r="F18" s="33" t="s">
        <v>81</v>
      </c>
      <c r="G18" s="33" t="s">
        <v>82</v>
      </c>
      <c r="H18" s="34">
        <v>1.0</v>
      </c>
      <c r="I18" s="33">
        <v>0.0</v>
      </c>
      <c r="J18" s="34">
        <v>0.0</v>
      </c>
      <c r="K18" s="34">
        <v>1.0</v>
      </c>
      <c r="L18" s="34">
        <v>0.0</v>
      </c>
      <c r="M18" s="30">
        <f t="shared" si="3"/>
        <v>1</v>
      </c>
      <c r="N18" s="33" t="s">
        <v>88</v>
      </c>
      <c r="O18" s="30" t="str">
        <f t="shared" si="4"/>
        <v>เพียงพอ</v>
      </c>
      <c r="P18" s="33" t="s">
        <v>131</v>
      </c>
    </row>
    <row r="19" ht="47.25" customHeight="1">
      <c r="A19" s="30" t="str">
        <f t="shared" si="1"/>
        <v/>
      </c>
      <c r="B19" s="35">
        <v>46315.7277662037</v>
      </c>
      <c r="C19" s="32" t="str">
        <f t="shared" si="2"/>
        <v/>
      </c>
      <c r="D19" s="33" t="s">
        <v>132</v>
      </c>
      <c r="E19" s="33" t="s">
        <v>133</v>
      </c>
      <c r="F19" s="33" t="s">
        <v>81</v>
      </c>
      <c r="G19" s="33" t="s">
        <v>82</v>
      </c>
      <c r="H19" s="34">
        <v>1.0</v>
      </c>
      <c r="I19" s="33">
        <v>0.0</v>
      </c>
      <c r="J19" s="34">
        <v>0.0</v>
      </c>
      <c r="K19" s="34">
        <v>1.0</v>
      </c>
      <c r="L19" s="34">
        <v>0.0</v>
      </c>
      <c r="M19" s="30">
        <f t="shared" si="3"/>
        <v>1</v>
      </c>
      <c r="N19" s="33" t="s">
        <v>88</v>
      </c>
      <c r="O19" s="30" t="str">
        <f t="shared" si="4"/>
        <v>เพียงพอ</v>
      </c>
      <c r="P19" s="33" t="s">
        <v>134</v>
      </c>
    </row>
    <row r="20" ht="47.25" customHeight="1">
      <c r="A20" s="30" t="str">
        <f t="shared" si="1"/>
        <v/>
      </c>
      <c r="B20" s="35">
        <v>46315.67978009259</v>
      </c>
      <c r="C20" s="32" t="str">
        <f t="shared" si="2"/>
        <v/>
      </c>
      <c r="D20" s="33" t="s">
        <v>135</v>
      </c>
      <c r="E20" s="33" t="s">
        <v>136</v>
      </c>
      <c r="F20" s="33" t="s">
        <v>81</v>
      </c>
      <c r="G20" s="33" t="s">
        <v>82</v>
      </c>
      <c r="H20" s="34">
        <v>1.0</v>
      </c>
      <c r="I20" s="33">
        <v>0.0</v>
      </c>
      <c r="J20" s="34">
        <v>0.0</v>
      </c>
      <c r="K20" s="34">
        <v>0.0</v>
      </c>
      <c r="L20" s="34">
        <v>0.0</v>
      </c>
      <c r="M20" s="30">
        <f t="shared" si="3"/>
        <v>0</v>
      </c>
      <c r="N20" s="33" t="s">
        <v>83</v>
      </c>
      <c r="O20" s="30" t="str">
        <f t="shared" si="4"/>
        <v>เพียงพอ</v>
      </c>
      <c r="P20" s="30"/>
    </row>
    <row r="21" ht="47.25" customHeight="1">
      <c r="A21" s="30" t="str">
        <f t="shared" si="1"/>
        <v/>
      </c>
      <c r="B21" s="35">
        <v>46315.67743055556</v>
      </c>
      <c r="C21" s="32" t="str">
        <f t="shared" si="2"/>
        <v/>
      </c>
      <c r="D21" s="33" t="s">
        <v>137</v>
      </c>
      <c r="E21" s="33" t="s">
        <v>138</v>
      </c>
      <c r="F21" s="33" t="s">
        <v>81</v>
      </c>
      <c r="G21" s="33" t="s">
        <v>82</v>
      </c>
      <c r="H21" s="34">
        <v>1.0</v>
      </c>
      <c r="I21" s="33">
        <v>0.0</v>
      </c>
      <c r="J21" s="34">
        <v>0.0</v>
      </c>
      <c r="K21" s="34">
        <v>1.0</v>
      </c>
      <c r="L21" s="34">
        <v>0.0</v>
      </c>
      <c r="M21" s="30">
        <f t="shared" si="3"/>
        <v>1</v>
      </c>
      <c r="N21" s="33" t="s">
        <v>88</v>
      </c>
      <c r="O21" s="30" t="str">
        <f t="shared" si="4"/>
        <v>เพียงพอ</v>
      </c>
      <c r="P21" s="30"/>
    </row>
    <row r="22" ht="47.25" customHeight="1">
      <c r="A22" s="30" t="str">
        <f t="shared" si="1"/>
        <v/>
      </c>
      <c r="B22" s="35">
        <v>46315.7205787037</v>
      </c>
      <c r="C22" s="32" t="str">
        <f t="shared" si="2"/>
        <v/>
      </c>
      <c r="D22" s="33" t="s">
        <v>139</v>
      </c>
      <c r="E22" s="33" t="s">
        <v>140</v>
      </c>
      <c r="F22" s="33" t="s">
        <v>81</v>
      </c>
      <c r="G22" s="33" t="s">
        <v>141</v>
      </c>
      <c r="H22" s="34">
        <v>1.0</v>
      </c>
      <c r="I22" s="33">
        <v>0.0</v>
      </c>
      <c r="J22" s="34">
        <v>0.0</v>
      </c>
      <c r="K22" s="34">
        <v>1.0</v>
      </c>
      <c r="L22" s="34">
        <v>0.0</v>
      </c>
      <c r="M22" s="30">
        <f t="shared" si="3"/>
        <v>1</v>
      </c>
      <c r="N22" s="33" t="s">
        <v>88</v>
      </c>
      <c r="O22" s="30" t="str">
        <f t="shared" si="4"/>
        <v>เพียงพอ</v>
      </c>
      <c r="P22" s="33" t="s">
        <v>142</v>
      </c>
    </row>
    <row r="23" ht="47.25" customHeight="1">
      <c r="A23" s="30" t="str">
        <f t="shared" si="1"/>
        <v/>
      </c>
      <c r="B23" s="35">
        <v>46315.721041666664</v>
      </c>
      <c r="C23" s="32" t="str">
        <f t="shared" si="2"/>
        <v/>
      </c>
      <c r="D23" s="33" t="s">
        <v>143</v>
      </c>
      <c r="E23" s="33" t="s">
        <v>140</v>
      </c>
      <c r="F23" s="33" t="s">
        <v>81</v>
      </c>
      <c r="G23" s="33" t="s">
        <v>141</v>
      </c>
      <c r="H23" s="34">
        <v>1.0</v>
      </c>
      <c r="I23" s="33">
        <v>0.0</v>
      </c>
      <c r="J23" s="34">
        <v>0.0</v>
      </c>
      <c r="K23" s="34">
        <v>1.0</v>
      </c>
      <c r="L23" s="34">
        <v>0.0</v>
      </c>
      <c r="M23" s="30">
        <f t="shared" si="3"/>
        <v>1</v>
      </c>
      <c r="N23" s="33" t="s">
        <v>88</v>
      </c>
      <c r="O23" s="30" t="str">
        <f t="shared" si="4"/>
        <v>เพียงพอ</v>
      </c>
      <c r="P23" s="33" t="s">
        <v>145</v>
      </c>
    </row>
    <row r="24" ht="47.25" customHeight="1">
      <c r="A24" s="30" t="str">
        <f t="shared" si="1"/>
        <v/>
      </c>
      <c r="B24" s="35">
        <v>46315.72125</v>
      </c>
      <c r="C24" s="32" t="str">
        <f t="shared" si="2"/>
        <v/>
      </c>
      <c r="D24" s="33" t="s">
        <v>147</v>
      </c>
      <c r="E24" s="33" t="s">
        <v>149</v>
      </c>
      <c r="F24" s="33" t="s">
        <v>81</v>
      </c>
      <c r="G24" s="33" t="s">
        <v>82</v>
      </c>
      <c r="H24" s="34">
        <v>1.0</v>
      </c>
      <c r="I24" s="33">
        <v>0.0</v>
      </c>
      <c r="J24" s="34">
        <v>0.0</v>
      </c>
      <c r="K24" s="34">
        <v>1.0</v>
      </c>
      <c r="L24" s="34">
        <v>0.0</v>
      </c>
      <c r="M24" s="30">
        <f t="shared" si="3"/>
        <v>1</v>
      </c>
      <c r="N24" s="33" t="s">
        <v>88</v>
      </c>
      <c r="O24" s="30" t="str">
        <f t="shared" si="4"/>
        <v>เพียงพอ</v>
      </c>
      <c r="P24" s="33" t="s">
        <v>153</v>
      </c>
    </row>
    <row r="25" ht="47.25" customHeight="1">
      <c r="A25" s="30" t="str">
        <f t="shared" si="1"/>
        <v/>
      </c>
      <c r="B25" s="35">
        <v>46315.712118055555</v>
      </c>
      <c r="C25" s="32" t="str">
        <f t="shared" si="2"/>
        <v/>
      </c>
      <c r="D25" s="33" t="s">
        <v>154</v>
      </c>
      <c r="E25" s="33" t="s">
        <v>155</v>
      </c>
      <c r="F25" s="33" t="s">
        <v>81</v>
      </c>
      <c r="G25" s="33" t="s">
        <v>82</v>
      </c>
      <c r="H25" s="34">
        <v>1.0</v>
      </c>
      <c r="I25" s="33">
        <v>0.0</v>
      </c>
      <c r="J25" s="34">
        <v>0.0</v>
      </c>
      <c r="K25" s="34">
        <v>1.0</v>
      </c>
      <c r="L25" s="34">
        <v>0.0</v>
      </c>
      <c r="M25" s="30">
        <f t="shared" si="3"/>
        <v>1</v>
      </c>
      <c r="N25" s="33" t="s">
        <v>88</v>
      </c>
      <c r="O25" s="30" t="str">
        <f t="shared" si="4"/>
        <v>เพียงพอ</v>
      </c>
      <c r="P25" s="30"/>
    </row>
    <row r="26" ht="47.25" customHeight="1">
      <c r="A26" s="30" t="str">
        <f t="shared" si="1"/>
        <v/>
      </c>
      <c r="B26" s="35">
        <v>46315.71383101852</v>
      </c>
      <c r="C26" s="32" t="str">
        <f t="shared" si="2"/>
        <v/>
      </c>
      <c r="D26" s="33" t="s">
        <v>156</v>
      </c>
      <c r="E26" s="33" t="s">
        <v>157</v>
      </c>
      <c r="F26" s="33" t="s">
        <v>81</v>
      </c>
      <c r="G26" s="33" t="s">
        <v>82</v>
      </c>
      <c r="H26" s="34">
        <v>1.0</v>
      </c>
      <c r="I26" s="33">
        <v>0.0</v>
      </c>
      <c r="J26" s="34">
        <v>0.0</v>
      </c>
      <c r="K26" s="34">
        <v>1.0</v>
      </c>
      <c r="L26" s="34">
        <v>0.0</v>
      </c>
      <c r="M26" s="30">
        <f t="shared" si="3"/>
        <v>1</v>
      </c>
      <c r="N26" s="33" t="s">
        <v>88</v>
      </c>
      <c r="O26" s="30" t="str">
        <f t="shared" si="4"/>
        <v>เพียงพอ</v>
      </c>
      <c r="P26" s="33" t="s">
        <v>158</v>
      </c>
    </row>
    <row r="27" ht="47.25" customHeight="1">
      <c r="A27" s="30" t="str">
        <f t="shared" si="1"/>
        <v/>
      </c>
      <c r="B27" s="30" t="s">
        <v>159</v>
      </c>
      <c r="C27" s="32" t="str">
        <f t="shared" si="2"/>
        <v/>
      </c>
      <c r="D27" s="33" t="s">
        <v>160</v>
      </c>
      <c r="E27" s="33" t="s">
        <v>161</v>
      </c>
      <c r="F27" s="33" t="s">
        <v>81</v>
      </c>
      <c r="G27" s="33" t="s">
        <v>82</v>
      </c>
      <c r="H27" s="30">
        <v>1.0</v>
      </c>
      <c r="I27" s="33">
        <v>0.0</v>
      </c>
      <c r="J27" s="34">
        <v>0.0</v>
      </c>
      <c r="K27" s="34">
        <v>1.0</v>
      </c>
      <c r="L27" s="34">
        <v>0.0</v>
      </c>
      <c r="M27" s="30">
        <f t="shared" si="3"/>
        <v>1</v>
      </c>
      <c r="N27" s="33" t="s">
        <v>88</v>
      </c>
      <c r="O27" s="30" t="str">
        <f t="shared" si="4"/>
        <v>เพียงพอ</v>
      </c>
      <c r="P27" s="33" t="s">
        <v>162</v>
      </c>
    </row>
    <row r="28" ht="47.25" customHeight="1">
      <c r="A28" s="30" t="str">
        <f t="shared" si="1"/>
        <v/>
      </c>
      <c r="B28" s="30" t="s">
        <v>159</v>
      </c>
      <c r="C28" s="32" t="str">
        <f t="shared" si="2"/>
        <v/>
      </c>
      <c r="D28" s="33" t="s">
        <v>163</v>
      </c>
      <c r="E28" s="33" t="s">
        <v>164</v>
      </c>
      <c r="F28" s="33" t="s">
        <v>81</v>
      </c>
      <c r="G28" s="33" t="s">
        <v>82</v>
      </c>
      <c r="H28" s="30">
        <v>1.0</v>
      </c>
      <c r="I28" s="33">
        <v>0.0</v>
      </c>
      <c r="J28" s="34">
        <v>0.0</v>
      </c>
      <c r="K28" s="34">
        <v>1.0</v>
      </c>
      <c r="L28" s="34">
        <v>0.0</v>
      </c>
      <c r="M28" s="30">
        <f t="shared" si="3"/>
        <v>1</v>
      </c>
      <c r="N28" s="33" t="s">
        <v>88</v>
      </c>
      <c r="O28" s="30" t="str">
        <f t="shared" si="4"/>
        <v>เพียงพอ</v>
      </c>
      <c r="P28" s="30"/>
    </row>
    <row r="29" ht="47.25" customHeight="1">
      <c r="A29" s="30" t="str">
        <f t="shared" si="1"/>
        <v/>
      </c>
      <c r="B29" s="30" t="s">
        <v>159</v>
      </c>
      <c r="C29" s="32" t="str">
        <f t="shared" si="2"/>
        <v/>
      </c>
      <c r="D29" s="33" t="s">
        <v>165</v>
      </c>
      <c r="E29" s="33" t="s">
        <v>166</v>
      </c>
      <c r="F29" s="33" t="s">
        <v>81</v>
      </c>
      <c r="G29" s="33" t="s">
        <v>82</v>
      </c>
      <c r="H29" s="30">
        <v>1.0</v>
      </c>
      <c r="I29" s="33">
        <v>0.0</v>
      </c>
      <c r="J29" s="34">
        <v>0.0</v>
      </c>
      <c r="K29" s="34">
        <v>1.0</v>
      </c>
      <c r="L29" s="34">
        <v>0.0</v>
      </c>
      <c r="M29" s="30">
        <f t="shared" si="3"/>
        <v>1</v>
      </c>
      <c r="N29" s="33" t="s">
        <v>88</v>
      </c>
      <c r="O29" s="30" t="str">
        <f t="shared" si="4"/>
        <v>เพียงพอ</v>
      </c>
      <c r="P29" s="30"/>
    </row>
    <row r="30" ht="47.25" customHeight="1">
      <c r="A30" s="30" t="str">
        <f t="shared" si="1"/>
        <v/>
      </c>
      <c r="B30" s="31">
        <v>46300.4080787037</v>
      </c>
      <c r="C30" s="32" t="str">
        <f t="shared" si="2"/>
        <v/>
      </c>
      <c r="D30" s="33" t="s">
        <v>167</v>
      </c>
      <c r="E30" s="33" t="s">
        <v>168</v>
      </c>
      <c r="F30" s="33" t="s">
        <v>81</v>
      </c>
      <c r="G30" s="33" t="s">
        <v>82</v>
      </c>
      <c r="H30" s="30">
        <v>1.0</v>
      </c>
      <c r="I30" s="33">
        <v>0.0</v>
      </c>
      <c r="J30" s="34">
        <v>0.0</v>
      </c>
      <c r="K30" s="34">
        <v>1.0</v>
      </c>
      <c r="L30" s="34">
        <v>0.0</v>
      </c>
      <c r="M30" s="30">
        <f t="shared" si="3"/>
        <v>1</v>
      </c>
      <c r="N30" s="33" t="s">
        <v>88</v>
      </c>
      <c r="O30" s="30" t="str">
        <f t="shared" si="4"/>
        <v>เพียงพอ</v>
      </c>
      <c r="P30" s="30"/>
    </row>
    <row r="31" ht="47.25" customHeight="1">
      <c r="A31" s="30" t="str">
        <f t="shared" si="1"/>
        <v/>
      </c>
      <c r="B31" s="30" t="s">
        <v>159</v>
      </c>
      <c r="C31" s="32" t="str">
        <f t="shared" si="2"/>
        <v/>
      </c>
      <c r="D31" s="33" t="s">
        <v>169</v>
      </c>
      <c r="E31" s="33" t="s">
        <v>170</v>
      </c>
      <c r="F31" s="33" t="s">
        <v>81</v>
      </c>
      <c r="G31" s="33" t="s">
        <v>82</v>
      </c>
      <c r="H31" s="30">
        <v>1.0</v>
      </c>
      <c r="I31" s="33">
        <v>0.0</v>
      </c>
      <c r="J31" s="34">
        <v>0.0</v>
      </c>
      <c r="K31" s="34">
        <v>1.0</v>
      </c>
      <c r="L31" s="34">
        <v>0.0</v>
      </c>
      <c r="M31" s="30">
        <f t="shared" si="3"/>
        <v>1</v>
      </c>
      <c r="N31" s="33" t="s">
        <v>88</v>
      </c>
      <c r="O31" s="30" t="str">
        <f t="shared" si="4"/>
        <v>เพียงพอ</v>
      </c>
      <c r="P31" s="30"/>
    </row>
    <row r="32" ht="47.25" customHeight="1">
      <c r="A32" s="30" t="str">
        <f t="shared" si="1"/>
        <v/>
      </c>
      <c r="B32" s="30" t="s">
        <v>159</v>
      </c>
      <c r="C32" s="32" t="str">
        <f t="shared" si="2"/>
        <v/>
      </c>
      <c r="D32" s="33" t="s">
        <v>171</v>
      </c>
      <c r="E32" s="33" t="s">
        <v>170</v>
      </c>
      <c r="F32" s="33" t="s">
        <v>81</v>
      </c>
      <c r="G32" s="33" t="s">
        <v>82</v>
      </c>
      <c r="H32" s="30">
        <v>1.0</v>
      </c>
      <c r="I32" s="33">
        <v>0.0</v>
      </c>
      <c r="J32" s="34">
        <v>0.0</v>
      </c>
      <c r="K32" s="34">
        <v>1.0</v>
      </c>
      <c r="L32" s="34">
        <v>0.0</v>
      </c>
      <c r="M32" s="30">
        <f t="shared" si="3"/>
        <v>1</v>
      </c>
      <c r="N32" s="33" t="s">
        <v>88</v>
      </c>
      <c r="O32" s="30" t="str">
        <f t="shared" si="4"/>
        <v>เพียงพอ</v>
      </c>
      <c r="P32" s="30"/>
    </row>
    <row r="33" ht="47.25" customHeight="1">
      <c r="A33" s="30" t="str">
        <f t="shared" si="1"/>
        <v/>
      </c>
      <c r="B33" s="30" t="s">
        <v>159</v>
      </c>
      <c r="C33" s="32" t="str">
        <f t="shared" si="2"/>
        <v/>
      </c>
      <c r="D33" s="33" t="s">
        <v>172</v>
      </c>
      <c r="E33" s="33" t="s">
        <v>170</v>
      </c>
      <c r="F33" s="33" t="s">
        <v>81</v>
      </c>
      <c r="G33" s="33" t="s">
        <v>82</v>
      </c>
      <c r="H33" s="30">
        <v>1.0</v>
      </c>
      <c r="I33" s="33">
        <v>0.0</v>
      </c>
      <c r="J33" s="34">
        <v>0.0</v>
      </c>
      <c r="K33" s="34">
        <v>1.0</v>
      </c>
      <c r="L33" s="34">
        <v>0.0</v>
      </c>
      <c r="M33" s="30">
        <f t="shared" si="3"/>
        <v>1</v>
      </c>
      <c r="N33" s="33" t="s">
        <v>88</v>
      </c>
      <c r="O33" s="30" t="str">
        <f t="shared" si="4"/>
        <v>เพียงพอ</v>
      </c>
      <c r="P33" s="30"/>
    </row>
    <row r="34" ht="47.25" customHeight="1">
      <c r="A34" s="30" t="str">
        <f t="shared" si="1"/>
        <v/>
      </c>
      <c r="B34" s="30" t="s">
        <v>159</v>
      </c>
      <c r="C34" s="32" t="str">
        <f t="shared" si="2"/>
        <v/>
      </c>
      <c r="D34" s="33" t="s">
        <v>173</v>
      </c>
      <c r="E34" s="33" t="s">
        <v>174</v>
      </c>
      <c r="F34" s="33" t="s">
        <v>81</v>
      </c>
      <c r="G34" s="33" t="s">
        <v>82</v>
      </c>
      <c r="H34" s="30">
        <v>1.0</v>
      </c>
      <c r="I34" s="33">
        <v>0.0</v>
      </c>
      <c r="J34" s="34">
        <v>0.0</v>
      </c>
      <c r="K34" s="34">
        <v>1.0</v>
      </c>
      <c r="L34" s="34">
        <v>0.0</v>
      </c>
      <c r="M34" s="30">
        <f t="shared" si="3"/>
        <v>1</v>
      </c>
      <c r="N34" s="33" t="s">
        <v>88</v>
      </c>
      <c r="O34" s="30" t="str">
        <f t="shared" si="4"/>
        <v>เพียงพอ</v>
      </c>
      <c r="P34" s="30"/>
    </row>
    <row r="35" ht="47.25" customHeight="1">
      <c r="A35" s="30" t="str">
        <f t="shared" si="1"/>
        <v/>
      </c>
      <c r="B35" s="30" t="s">
        <v>159</v>
      </c>
      <c r="C35" s="32" t="str">
        <f t="shared" si="2"/>
        <v/>
      </c>
      <c r="D35" s="33" t="s">
        <v>175</v>
      </c>
      <c r="E35" s="33" t="s">
        <v>174</v>
      </c>
      <c r="F35" s="33" t="s">
        <v>81</v>
      </c>
      <c r="G35" s="33" t="s">
        <v>82</v>
      </c>
      <c r="H35" s="30">
        <v>1.0</v>
      </c>
      <c r="I35" s="33">
        <v>0.0</v>
      </c>
      <c r="J35" s="34">
        <v>0.0</v>
      </c>
      <c r="K35" s="34">
        <v>1.0</v>
      </c>
      <c r="L35" s="34">
        <v>0.0</v>
      </c>
      <c r="M35" s="30">
        <f t="shared" si="3"/>
        <v>1</v>
      </c>
      <c r="N35" s="33" t="s">
        <v>88</v>
      </c>
      <c r="O35" s="30" t="str">
        <f t="shared" si="4"/>
        <v>เพียงพอ</v>
      </c>
      <c r="P35" s="30"/>
    </row>
    <row r="36" ht="47.25" customHeight="1">
      <c r="A36" s="30" t="str">
        <f t="shared" si="1"/>
        <v/>
      </c>
      <c r="B36" s="30" t="s">
        <v>159</v>
      </c>
      <c r="C36" s="32" t="str">
        <f t="shared" si="2"/>
        <v/>
      </c>
      <c r="D36" s="33" t="s">
        <v>176</v>
      </c>
      <c r="E36" s="33" t="s">
        <v>177</v>
      </c>
      <c r="F36" s="33" t="s">
        <v>81</v>
      </c>
      <c r="G36" s="33" t="s">
        <v>82</v>
      </c>
      <c r="H36" s="30">
        <v>1.0</v>
      </c>
      <c r="I36" s="33">
        <v>0.0</v>
      </c>
      <c r="J36" s="34">
        <v>0.0</v>
      </c>
      <c r="K36" s="34">
        <v>1.0</v>
      </c>
      <c r="L36" s="34">
        <v>0.0</v>
      </c>
      <c r="M36" s="30">
        <f t="shared" si="3"/>
        <v>1</v>
      </c>
      <c r="N36" s="33" t="s">
        <v>88</v>
      </c>
      <c r="O36" s="30" t="str">
        <f t="shared" si="4"/>
        <v>เพียงพอ</v>
      </c>
      <c r="P36" s="30"/>
    </row>
    <row r="37" ht="47.25" customHeight="1">
      <c r="A37" s="30" t="str">
        <f t="shared" si="1"/>
        <v/>
      </c>
      <c r="B37" s="30" t="s">
        <v>159</v>
      </c>
      <c r="C37" s="32" t="str">
        <f t="shared" si="2"/>
        <v/>
      </c>
      <c r="D37" s="33" t="s">
        <v>183</v>
      </c>
      <c r="E37" s="33" t="s">
        <v>177</v>
      </c>
      <c r="F37" s="33" t="s">
        <v>81</v>
      </c>
      <c r="G37" s="33" t="s">
        <v>82</v>
      </c>
      <c r="H37" s="30">
        <v>1.0</v>
      </c>
      <c r="I37" s="33">
        <v>0.0</v>
      </c>
      <c r="J37" s="34">
        <v>0.0</v>
      </c>
      <c r="K37" s="34">
        <v>1.0</v>
      </c>
      <c r="L37" s="34">
        <v>0.0</v>
      </c>
      <c r="M37" s="30">
        <f t="shared" si="3"/>
        <v>1</v>
      </c>
      <c r="N37" s="33" t="s">
        <v>88</v>
      </c>
      <c r="O37" s="30" t="str">
        <f t="shared" si="4"/>
        <v>เพียงพอ</v>
      </c>
      <c r="P37" s="30"/>
    </row>
    <row r="38" ht="47.25" customHeight="1">
      <c r="A38" s="30" t="str">
        <f t="shared" si="1"/>
        <v/>
      </c>
      <c r="B38" s="30" t="s">
        <v>159</v>
      </c>
      <c r="C38" s="32" t="str">
        <f t="shared" si="2"/>
        <v/>
      </c>
      <c r="D38" s="33" t="s">
        <v>184</v>
      </c>
      <c r="E38" s="33" t="s">
        <v>185</v>
      </c>
      <c r="F38" s="33" t="s">
        <v>81</v>
      </c>
      <c r="G38" s="33" t="s">
        <v>82</v>
      </c>
      <c r="H38" s="30">
        <v>1.0</v>
      </c>
      <c r="I38" s="33">
        <v>0.0</v>
      </c>
      <c r="J38" s="34">
        <v>0.0</v>
      </c>
      <c r="K38" s="34">
        <v>1.0</v>
      </c>
      <c r="L38" s="34">
        <v>0.0</v>
      </c>
      <c r="M38" s="30">
        <f t="shared" si="3"/>
        <v>1</v>
      </c>
      <c r="N38" s="33" t="s">
        <v>88</v>
      </c>
      <c r="O38" s="30" t="str">
        <f t="shared" si="4"/>
        <v>เพียงพอ</v>
      </c>
      <c r="P38" s="30"/>
    </row>
    <row r="39" ht="47.25" customHeight="1">
      <c r="A39" s="30" t="str">
        <f t="shared" si="1"/>
        <v/>
      </c>
      <c r="B39" s="30" t="s">
        <v>159</v>
      </c>
      <c r="C39" s="32" t="str">
        <f t="shared" si="2"/>
        <v/>
      </c>
      <c r="D39" s="33" t="s">
        <v>186</v>
      </c>
      <c r="E39" s="33" t="s">
        <v>187</v>
      </c>
      <c r="F39" s="33" t="s">
        <v>81</v>
      </c>
      <c r="G39" s="33" t="s">
        <v>82</v>
      </c>
      <c r="H39" s="30">
        <v>1.0</v>
      </c>
      <c r="I39" s="33">
        <v>0.0</v>
      </c>
      <c r="J39" s="34">
        <v>0.0</v>
      </c>
      <c r="K39" s="34">
        <v>1.0</v>
      </c>
      <c r="L39" s="34">
        <v>0.0</v>
      </c>
      <c r="M39" s="30">
        <f t="shared" si="3"/>
        <v>1</v>
      </c>
      <c r="N39" s="33" t="s">
        <v>88</v>
      </c>
      <c r="O39" s="30" t="str">
        <f t="shared" si="4"/>
        <v>เพียงพอ</v>
      </c>
      <c r="P39" s="30"/>
    </row>
    <row r="40" ht="47.25" customHeight="1">
      <c r="A40" s="30" t="str">
        <f t="shared" si="1"/>
        <v/>
      </c>
      <c r="B40" s="30" t="s">
        <v>159</v>
      </c>
      <c r="C40" s="32" t="str">
        <f t="shared" si="2"/>
        <v/>
      </c>
      <c r="D40" s="33" t="s">
        <v>188</v>
      </c>
      <c r="E40" s="33" t="s">
        <v>189</v>
      </c>
      <c r="F40" s="33" t="s">
        <v>81</v>
      </c>
      <c r="G40" s="33" t="s">
        <v>82</v>
      </c>
      <c r="H40" s="30">
        <v>1.0</v>
      </c>
      <c r="I40" s="33">
        <v>0.0</v>
      </c>
      <c r="J40" s="34">
        <v>0.0</v>
      </c>
      <c r="K40" s="34">
        <v>1.0</v>
      </c>
      <c r="L40" s="34">
        <v>0.0</v>
      </c>
      <c r="M40" s="30">
        <f t="shared" si="3"/>
        <v>1</v>
      </c>
      <c r="N40" s="33" t="s">
        <v>88</v>
      </c>
      <c r="O40" s="30" t="str">
        <f t="shared" si="4"/>
        <v>เพียงพอ</v>
      </c>
      <c r="P40" s="30"/>
    </row>
    <row r="41" ht="47.25" customHeight="1">
      <c r="A41" s="30" t="str">
        <f t="shared" si="1"/>
        <v/>
      </c>
      <c r="B41" s="30" t="s">
        <v>159</v>
      </c>
      <c r="C41" s="32" t="str">
        <f t="shared" si="2"/>
        <v/>
      </c>
      <c r="D41" s="33" t="s">
        <v>190</v>
      </c>
      <c r="E41" s="33" t="s">
        <v>191</v>
      </c>
      <c r="F41" s="33" t="s">
        <v>81</v>
      </c>
      <c r="G41" s="33" t="s">
        <v>82</v>
      </c>
      <c r="H41" s="30">
        <v>1.0</v>
      </c>
      <c r="I41" s="33">
        <v>0.0</v>
      </c>
      <c r="J41" s="34">
        <v>0.0</v>
      </c>
      <c r="K41" s="34">
        <v>1.0</v>
      </c>
      <c r="L41" s="34">
        <v>0.0</v>
      </c>
      <c r="M41" s="30">
        <f t="shared" si="3"/>
        <v>1</v>
      </c>
      <c r="N41" s="33" t="s">
        <v>88</v>
      </c>
      <c r="O41" s="30" t="str">
        <f t="shared" si="4"/>
        <v>เพียงพอ</v>
      </c>
      <c r="P41" s="30"/>
    </row>
    <row r="42" ht="47.25" customHeight="1">
      <c r="A42" s="30" t="str">
        <f t="shared" si="1"/>
        <v/>
      </c>
      <c r="B42" s="30" t="s">
        <v>159</v>
      </c>
      <c r="C42" s="32" t="str">
        <f t="shared" si="2"/>
        <v/>
      </c>
      <c r="D42" s="33" t="s">
        <v>192</v>
      </c>
      <c r="E42" s="33" t="s">
        <v>193</v>
      </c>
      <c r="F42" s="33" t="s">
        <v>81</v>
      </c>
      <c r="G42" s="33" t="s">
        <v>82</v>
      </c>
      <c r="H42" s="30">
        <v>1.0</v>
      </c>
      <c r="I42" s="33">
        <v>0.0</v>
      </c>
      <c r="J42" s="34">
        <v>0.0</v>
      </c>
      <c r="K42" s="34">
        <v>1.0</v>
      </c>
      <c r="L42" s="34">
        <v>0.0</v>
      </c>
      <c r="M42" s="30">
        <f t="shared" si="3"/>
        <v>1</v>
      </c>
      <c r="N42" s="33" t="s">
        <v>88</v>
      </c>
      <c r="O42" s="30" t="str">
        <f t="shared" si="4"/>
        <v>เพียงพอ</v>
      </c>
      <c r="P42" s="30"/>
    </row>
    <row r="43" ht="47.25" customHeight="1">
      <c r="A43" s="30" t="str">
        <f t="shared" si="1"/>
        <v/>
      </c>
      <c r="B43" s="30" t="s">
        <v>159</v>
      </c>
      <c r="C43" s="32" t="str">
        <f t="shared" si="2"/>
        <v/>
      </c>
      <c r="D43" s="33" t="s">
        <v>194</v>
      </c>
      <c r="E43" s="33" t="s">
        <v>195</v>
      </c>
      <c r="F43" s="33" t="s">
        <v>81</v>
      </c>
      <c r="G43" s="33" t="s">
        <v>82</v>
      </c>
      <c r="H43" s="30">
        <v>1.0</v>
      </c>
      <c r="I43" s="33">
        <v>0.0</v>
      </c>
      <c r="J43" s="34">
        <v>0.0</v>
      </c>
      <c r="K43" s="34">
        <v>1.0</v>
      </c>
      <c r="L43" s="34">
        <v>0.0</v>
      </c>
      <c r="M43" s="30">
        <f t="shared" si="3"/>
        <v>1</v>
      </c>
      <c r="N43" s="33" t="s">
        <v>88</v>
      </c>
      <c r="O43" s="30" t="str">
        <f t="shared" si="4"/>
        <v>เพียงพอ</v>
      </c>
      <c r="P43" s="30"/>
    </row>
    <row r="44" ht="47.25" customHeight="1">
      <c r="A44" s="30" t="str">
        <f t="shared" si="1"/>
        <v/>
      </c>
      <c r="B44" s="30" t="s">
        <v>159</v>
      </c>
      <c r="C44" s="32" t="str">
        <f t="shared" si="2"/>
        <v/>
      </c>
      <c r="D44" s="33" t="s">
        <v>196</v>
      </c>
      <c r="E44" s="33" t="s">
        <v>197</v>
      </c>
      <c r="F44" s="33" t="s">
        <v>81</v>
      </c>
      <c r="G44" s="33" t="s">
        <v>82</v>
      </c>
      <c r="H44" s="30">
        <v>1.0</v>
      </c>
      <c r="I44" s="33">
        <v>0.0</v>
      </c>
      <c r="J44" s="34">
        <v>0.0</v>
      </c>
      <c r="K44" s="34">
        <v>1.0</v>
      </c>
      <c r="L44" s="34">
        <v>0.0</v>
      </c>
      <c r="M44" s="30">
        <f t="shared" si="3"/>
        <v>1</v>
      </c>
      <c r="N44" s="33" t="s">
        <v>88</v>
      </c>
      <c r="O44" s="30" t="str">
        <f t="shared" si="4"/>
        <v>เพียงพอ</v>
      </c>
      <c r="P44" s="30"/>
    </row>
    <row r="45" ht="47.25" customHeight="1">
      <c r="A45" s="30" t="str">
        <f t="shared" si="1"/>
        <v/>
      </c>
      <c r="B45" s="30" t="s">
        <v>159</v>
      </c>
      <c r="C45" s="32" t="str">
        <f t="shared" si="2"/>
        <v/>
      </c>
      <c r="D45" s="33" t="s">
        <v>198</v>
      </c>
      <c r="E45" s="33" t="s">
        <v>199</v>
      </c>
      <c r="F45" s="33" t="s">
        <v>81</v>
      </c>
      <c r="G45" s="33" t="s">
        <v>82</v>
      </c>
      <c r="H45" s="30">
        <v>1.0</v>
      </c>
      <c r="I45" s="33">
        <v>0.0</v>
      </c>
      <c r="J45" s="34">
        <v>0.0</v>
      </c>
      <c r="K45" s="34">
        <v>1.0</v>
      </c>
      <c r="L45" s="34">
        <v>0.0</v>
      </c>
      <c r="M45" s="30">
        <f t="shared" si="3"/>
        <v>1</v>
      </c>
      <c r="N45" s="33" t="s">
        <v>88</v>
      </c>
      <c r="O45" s="30" t="str">
        <f t="shared" si="4"/>
        <v>เพียงพอ</v>
      </c>
      <c r="P45" s="30"/>
    </row>
    <row r="46" ht="47.25" customHeight="1">
      <c r="A46" s="30" t="str">
        <f t="shared" si="1"/>
        <v/>
      </c>
      <c r="B46" s="30" t="s">
        <v>159</v>
      </c>
      <c r="C46" s="32" t="str">
        <f t="shared" si="2"/>
        <v/>
      </c>
      <c r="D46" s="33" t="s">
        <v>200</v>
      </c>
      <c r="E46" s="33" t="s">
        <v>201</v>
      </c>
      <c r="F46" s="33" t="s">
        <v>81</v>
      </c>
      <c r="G46" s="33" t="s">
        <v>82</v>
      </c>
      <c r="H46" s="30">
        <v>1.0</v>
      </c>
      <c r="I46" s="33">
        <v>0.0</v>
      </c>
      <c r="J46" s="34">
        <v>0.0</v>
      </c>
      <c r="K46" s="34">
        <v>1.0</v>
      </c>
      <c r="L46" s="34">
        <v>0.0</v>
      </c>
      <c r="M46" s="30">
        <f t="shared" si="3"/>
        <v>1</v>
      </c>
      <c r="N46" s="33" t="s">
        <v>88</v>
      </c>
      <c r="O46" s="30" t="str">
        <f t="shared" si="4"/>
        <v>เพียงพอ</v>
      </c>
      <c r="P46" s="30"/>
    </row>
    <row r="47" ht="47.25" customHeight="1">
      <c r="A47" s="30" t="str">
        <f t="shared" si="1"/>
        <v/>
      </c>
      <c r="B47" s="30" t="s">
        <v>159</v>
      </c>
      <c r="C47" s="32" t="str">
        <f t="shared" si="2"/>
        <v/>
      </c>
      <c r="D47" s="33" t="s">
        <v>202</v>
      </c>
      <c r="E47" s="33" t="s">
        <v>203</v>
      </c>
      <c r="F47" s="33" t="s">
        <v>81</v>
      </c>
      <c r="G47" s="33" t="s">
        <v>82</v>
      </c>
      <c r="H47" s="30">
        <v>1.0</v>
      </c>
      <c r="I47" s="33">
        <v>0.0</v>
      </c>
      <c r="J47" s="34">
        <v>0.0</v>
      </c>
      <c r="K47" s="34">
        <v>1.0</v>
      </c>
      <c r="L47" s="34">
        <v>0.0</v>
      </c>
      <c r="M47" s="30">
        <f t="shared" si="3"/>
        <v>1</v>
      </c>
      <c r="N47" s="33" t="s">
        <v>88</v>
      </c>
      <c r="O47" s="30" t="str">
        <f t="shared" si="4"/>
        <v>เพียงพอ</v>
      </c>
      <c r="P47" s="30"/>
    </row>
    <row r="48" ht="47.25" customHeight="1">
      <c r="A48" s="30" t="str">
        <f t="shared" si="1"/>
        <v/>
      </c>
      <c r="B48" s="30" t="s">
        <v>159</v>
      </c>
      <c r="C48" s="32" t="str">
        <f t="shared" si="2"/>
        <v/>
      </c>
      <c r="D48" s="33" t="s">
        <v>204</v>
      </c>
      <c r="E48" s="33" t="s">
        <v>205</v>
      </c>
      <c r="F48" s="33" t="s">
        <v>81</v>
      </c>
      <c r="G48" s="33" t="s">
        <v>82</v>
      </c>
      <c r="H48" s="30">
        <v>1.0</v>
      </c>
      <c r="I48" s="33">
        <v>0.0</v>
      </c>
      <c r="J48" s="34">
        <v>0.0</v>
      </c>
      <c r="K48" s="34">
        <v>1.0</v>
      </c>
      <c r="L48" s="34">
        <v>0.0</v>
      </c>
      <c r="M48" s="30">
        <f t="shared" si="3"/>
        <v>1</v>
      </c>
      <c r="N48" s="33" t="s">
        <v>88</v>
      </c>
      <c r="O48" s="30" t="str">
        <f t="shared" si="4"/>
        <v>เพียงพอ</v>
      </c>
      <c r="P48" s="30"/>
    </row>
    <row r="49" ht="47.25" customHeight="1">
      <c r="A49" s="30" t="str">
        <f t="shared" si="1"/>
        <v/>
      </c>
      <c r="B49" s="30" t="s">
        <v>159</v>
      </c>
      <c r="C49" s="32" t="str">
        <f t="shared" si="2"/>
        <v/>
      </c>
      <c r="D49" s="33" t="s">
        <v>206</v>
      </c>
      <c r="E49" s="33" t="s">
        <v>207</v>
      </c>
      <c r="F49" s="33" t="s">
        <v>81</v>
      </c>
      <c r="G49" s="33" t="s">
        <v>82</v>
      </c>
      <c r="H49" s="30">
        <v>1.0</v>
      </c>
      <c r="I49" s="33">
        <v>0.0</v>
      </c>
      <c r="J49" s="34">
        <v>0.0</v>
      </c>
      <c r="K49" s="34">
        <v>1.0</v>
      </c>
      <c r="L49" s="34">
        <v>0.0</v>
      </c>
      <c r="M49" s="30">
        <f t="shared" si="3"/>
        <v>1</v>
      </c>
      <c r="N49" s="33" t="s">
        <v>88</v>
      </c>
      <c r="O49" s="30" t="str">
        <f t="shared" si="4"/>
        <v>เพียงพอ</v>
      </c>
      <c r="P49" s="30"/>
    </row>
    <row r="50" ht="47.25" customHeight="1">
      <c r="A50" s="30" t="str">
        <f t="shared" si="1"/>
        <v/>
      </c>
      <c r="B50" s="30" t="s">
        <v>159</v>
      </c>
      <c r="C50" s="32" t="str">
        <f t="shared" si="2"/>
        <v/>
      </c>
      <c r="D50" s="33" t="s">
        <v>208</v>
      </c>
      <c r="E50" s="33" t="s">
        <v>209</v>
      </c>
      <c r="F50" s="33" t="s">
        <v>81</v>
      </c>
      <c r="G50" s="33" t="s">
        <v>82</v>
      </c>
      <c r="H50" s="30">
        <v>1.0</v>
      </c>
      <c r="I50" s="33">
        <v>0.0</v>
      </c>
      <c r="J50" s="34">
        <v>0.0</v>
      </c>
      <c r="K50" s="34">
        <v>1.0</v>
      </c>
      <c r="L50" s="34">
        <v>0.0</v>
      </c>
      <c r="M50" s="30">
        <f t="shared" si="3"/>
        <v>1</v>
      </c>
      <c r="N50" s="33" t="s">
        <v>88</v>
      </c>
      <c r="O50" s="30" t="str">
        <f t="shared" si="4"/>
        <v>เพียงพอ</v>
      </c>
      <c r="P50" s="30"/>
    </row>
    <row r="51" ht="47.25" customHeight="1">
      <c r="A51" s="30" t="str">
        <f t="shared" si="1"/>
        <v/>
      </c>
      <c r="B51" s="30" t="s">
        <v>159</v>
      </c>
      <c r="C51" s="32" t="str">
        <f t="shared" si="2"/>
        <v/>
      </c>
      <c r="D51" s="33" t="s">
        <v>210</v>
      </c>
      <c r="E51" s="33" t="s">
        <v>211</v>
      </c>
      <c r="F51" s="33" t="s">
        <v>81</v>
      </c>
      <c r="G51" s="33" t="s">
        <v>82</v>
      </c>
      <c r="H51" s="30">
        <v>1.0</v>
      </c>
      <c r="I51" s="33">
        <v>0.0</v>
      </c>
      <c r="J51" s="34">
        <v>0.0</v>
      </c>
      <c r="K51" s="34">
        <v>1.0</v>
      </c>
      <c r="L51" s="34">
        <v>0.0</v>
      </c>
      <c r="M51" s="30">
        <f t="shared" si="3"/>
        <v>1</v>
      </c>
      <c r="N51" s="33" t="s">
        <v>88</v>
      </c>
      <c r="O51" s="30" t="str">
        <f t="shared" si="4"/>
        <v>เพียงพอ</v>
      </c>
      <c r="P51" s="30"/>
    </row>
    <row r="52" ht="47.25" customHeight="1">
      <c r="A52" s="30" t="str">
        <f t="shared" si="1"/>
        <v/>
      </c>
      <c r="B52" s="30" t="s">
        <v>159</v>
      </c>
      <c r="C52" s="32" t="str">
        <f t="shared" si="2"/>
        <v/>
      </c>
      <c r="D52" s="33" t="s">
        <v>212</v>
      </c>
      <c r="E52" s="33" t="s">
        <v>213</v>
      </c>
      <c r="F52" s="33" t="s">
        <v>81</v>
      </c>
      <c r="G52" s="33" t="s">
        <v>82</v>
      </c>
      <c r="H52" s="30">
        <v>1.0</v>
      </c>
      <c r="I52" s="33">
        <v>0.0</v>
      </c>
      <c r="J52" s="34">
        <v>0.0</v>
      </c>
      <c r="K52" s="34">
        <v>1.0</v>
      </c>
      <c r="L52" s="34">
        <v>0.0</v>
      </c>
      <c r="M52" s="30">
        <f t="shared" si="3"/>
        <v>1</v>
      </c>
      <c r="N52" s="33" t="s">
        <v>88</v>
      </c>
      <c r="O52" s="30" t="str">
        <f t="shared" si="4"/>
        <v>เพียงพอ</v>
      </c>
      <c r="P52" s="30"/>
    </row>
    <row r="53" ht="47.25" customHeight="1">
      <c r="A53" s="30" t="str">
        <f t="shared" si="1"/>
        <v/>
      </c>
      <c r="B53" s="30" t="s">
        <v>159</v>
      </c>
      <c r="C53" s="32" t="str">
        <f t="shared" si="2"/>
        <v/>
      </c>
      <c r="D53" s="33" t="s">
        <v>214</v>
      </c>
      <c r="E53" s="33" t="s">
        <v>215</v>
      </c>
      <c r="F53" s="33" t="s">
        <v>81</v>
      </c>
      <c r="G53" s="33" t="s">
        <v>82</v>
      </c>
      <c r="H53" s="30">
        <v>1.0</v>
      </c>
      <c r="I53" s="33">
        <v>0.0</v>
      </c>
      <c r="J53" s="34">
        <v>0.0</v>
      </c>
      <c r="K53" s="34">
        <v>1.0</v>
      </c>
      <c r="L53" s="34">
        <v>0.0</v>
      </c>
      <c r="M53" s="30">
        <f t="shared" si="3"/>
        <v>1</v>
      </c>
      <c r="N53" s="33" t="s">
        <v>88</v>
      </c>
      <c r="O53" s="30" t="str">
        <f t="shared" si="4"/>
        <v>เพียงพอ</v>
      </c>
      <c r="P53" s="30"/>
    </row>
    <row r="54" ht="47.25" customHeight="1">
      <c r="A54" s="30" t="str">
        <f t="shared" si="1"/>
        <v/>
      </c>
      <c r="B54" s="30" t="s">
        <v>159</v>
      </c>
      <c r="C54" s="32" t="str">
        <f t="shared" si="2"/>
        <v/>
      </c>
      <c r="D54" s="33" t="s">
        <v>216</v>
      </c>
      <c r="E54" s="33" t="s">
        <v>217</v>
      </c>
      <c r="F54" s="33" t="s">
        <v>81</v>
      </c>
      <c r="G54" s="33" t="s">
        <v>82</v>
      </c>
      <c r="H54" s="30">
        <v>1.0</v>
      </c>
      <c r="I54" s="33">
        <v>0.0</v>
      </c>
      <c r="J54" s="34">
        <v>0.0</v>
      </c>
      <c r="K54" s="34">
        <v>1.0</v>
      </c>
      <c r="L54" s="34">
        <v>0.0</v>
      </c>
      <c r="M54" s="30">
        <f t="shared" si="3"/>
        <v>1</v>
      </c>
      <c r="N54" s="33" t="s">
        <v>88</v>
      </c>
      <c r="O54" s="30" t="str">
        <f t="shared" si="4"/>
        <v>เพียงพอ</v>
      </c>
      <c r="P54" s="30"/>
    </row>
    <row r="55" ht="47.25" customHeight="1">
      <c r="A55" s="30" t="str">
        <f t="shared" si="1"/>
        <v/>
      </c>
      <c r="B55" s="30" t="s">
        <v>159</v>
      </c>
      <c r="C55" s="32" t="str">
        <f t="shared" si="2"/>
        <v/>
      </c>
      <c r="D55" s="33" t="s">
        <v>218</v>
      </c>
      <c r="E55" s="33" t="s">
        <v>219</v>
      </c>
      <c r="F55" s="33" t="s">
        <v>81</v>
      </c>
      <c r="G55" s="33" t="s">
        <v>82</v>
      </c>
      <c r="H55" s="30">
        <v>1.0</v>
      </c>
      <c r="I55" s="33">
        <v>0.0</v>
      </c>
      <c r="J55" s="34">
        <v>0.0</v>
      </c>
      <c r="K55" s="34">
        <v>1.0</v>
      </c>
      <c r="L55" s="34">
        <v>0.0</v>
      </c>
      <c r="M55" s="30">
        <f t="shared" si="3"/>
        <v>1</v>
      </c>
      <c r="N55" s="33" t="s">
        <v>88</v>
      </c>
      <c r="O55" s="30" t="str">
        <f t="shared" si="4"/>
        <v>เพียงพอ</v>
      </c>
      <c r="P55" s="30"/>
    </row>
    <row r="56" ht="47.25" customHeight="1">
      <c r="A56" s="30" t="str">
        <f t="shared" si="1"/>
        <v/>
      </c>
      <c r="B56" s="30" t="s">
        <v>159</v>
      </c>
      <c r="C56" s="32" t="str">
        <f t="shared" si="2"/>
        <v/>
      </c>
      <c r="D56" s="33" t="s">
        <v>220</v>
      </c>
      <c r="E56" s="33" t="s">
        <v>221</v>
      </c>
      <c r="F56" s="33" t="s">
        <v>81</v>
      </c>
      <c r="G56" s="33" t="s">
        <v>82</v>
      </c>
      <c r="H56" s="30">
        <v>1.0</v>
      </c>
      <c r="I56" s="33">
        <v>0.0</v>
      </c>
      <c r="J56" s="34">
        <v>0.0</v>
      </c>
      <c r="K56" s="34">
        <v>1.0</v>
      </c>
      <c r="L56" s="34">
        <v>0.0</v>
      </c>
      <c r="M56" s="30">
        <f t="shared" si="3"/>
        <v>1</v>
      </c>
      <c r="N56" s="33" t="s">
        <v>88</v>
      </c>
      <c r="O56" s="30" t="str">
        <f t="shared" si="4"/>
        <v>เพียงพอ</v>
      </c>
      <c r="P56" s="30"/>
    </row>
    <row r="57" ht="47.25" customHeight="1">
      <c r="A57" s="30" t="str">
        <f t="shared" si="1"/>
        <v/>
      </c>
      <c r="B57" s="30" t="s">
        <v>159</v>
      </c>
      <c r="C57" s="32" t="str">
        <f t="shared" si="2"/>
        <v/>
      </c>
      <c r="D57" s="33" t="s">
        <v>222</v>
      </c>
      <c r="E57" s="33" t="s">
        <v>223</v>
      </c>
      <c r="F57" s="33" t="s">
        <v>81</v>
      </c>
      <c r="G57" s="33" t="s">
        <v>82</v>
      </c>
      <c r="H57" s="30">
        <v>1.0</v>
      </c>
      <c r="I57" s="33">
        <v>0.0</v>
      </c>
      <c r="J57" s="34">
        <v>0.0</v>
      </c>
      <c r="K57" s="34">
        <v>1.0</v>
      </c>
      <c r="L57" s="34">
        <v>0.0</v>
      </c>
      <c r="M57" s="30">
        <f t="shared" si="3"/>
        <v>1</v>
      </c>
      <c r="N57" s="33" t="s">
        <v>88</v>
      </c>
      <c r="O57" s="30" t="str">
        <f t="shared" si="4"/>
        <v>เพียงพอ</v>
      </c>
      <c r="P57" s="30"/>
    </row>
    <row r="58" ht="47.25" customHeight="1">
      <c r="A58" s="30" t="str">
        <f t="shared" si="1"/>
        <v/>
      </c>
      <c r="B58" s="30" t="s">
        <v>159</v>
      </c>
      <c r="C58" s="32" t="str">
        <f t="shared" si="2"/>
        <v/>
      </c>
      <c r="D58" s="33" t="s">
        <v>224</v>
      </c>
      <c r="E58" s="33" t="s">
        <v>225</v>
      </c>
      <c r="F58" s="33" t="s">
        <v>81</v>
      </c>
      <c r="G58" s="33" t="s">
        <v>82</v>
      </c>
      <c r="H58" s="30">
        <v>1.0</v>
      </c>
      <c r="I58" s="33">
        <v>0.0</v>
      </c>
      <c r="J58" s="34">
        <v>0.0</v>
      </c>
      <c r="K58" s="34">
        <v>1.0</v>
      </c>
      <c r="L58" s="34">
        <v>0.0</v>
      </c>
      <c r="M58" s="30">
        <f t="shared" si="3"/>
        <v>1</v>
      </c>
      <c r="N58" s="33" t="s">
        <v>88</v>
      </c>
      <c r="O58" s="30" t="str">
        <f t="shared" si="4"/>
        <v>เพียงพอ</v>
      </c>
      <c r="P58" s="30"/>
    </row>
    <row r="59" ht="47.25" customHeight="1">
      <c r="A59" s="30" t="str">
        <f t="shared" si="1"/>
        <v/>
      </c>
      <c r="B59" s="30" t="s">
        <v>159</v>
      </c>
      <c r="C59" s="32" t="str">
        <f t="shared" si="2"/>
        <v/>
      </c>
      <c r="D59" s="33" t="s">
        <v>226</v>
      </c>
      <c r="E59" s="30" t="s">
        <v>227</v>
      </c>
      <c r="F59" s="33" t="s">
        <v>81</v>
      </c>
      <c r="G59" s="30" t="s">
        <v>82</v>
      </c>
      <c r="H59" s="30">
        <v>1.0</v>
      </c>
      <c r="I59" s="33">
        <v>0.0</v>
      </c>
      <c r="J59" s="30">
        <v>0.0</v>
      </c>
      <c r="K59" s="30">
        <v>1.0</v>
      </c>
      <c r="L59" s="30">
        <v>0.0</v>
      </c>
      <c r="M59" s="30">
        <f t="shared" si="3"/>
        <v>1</v>
      </c>
      <c r="N59" s="30" t="s">
        <v>88</v>
      </c>
      <c r="O59" s="30" t="str">
        <f t="shared" si="4"/>
        <v>เพียงพอ</v>
      </c>
      <c r="P59" s="30"/>
    </row>
    <row r="60" ht="47.25" customHeight="1">
      <c r="A60" s="30" t="str">
        <f t="shared" si="1"/>
        <v/>
      </c>
      <c r="B60" s="30" t="s">
        <v>159</v>
      </c>
      <c r="C60" s="32" t="str">
        <f t="shared" si="2"/>
        <v/>
      </c>
      <c r="D60" s="33" t="s">
        <v>228</v>
      </c>
      <c r="E60" s="30" t="s">
        <v>229</v>
      </c>
      <c r="F60" s="33" t="s">
        <v>81</v>
      </c>
      <c r="G60" s="30" t="s">
        <v>82</v>
      </c>
      <c r="H60" s="30">
        <v>1.0</v>
      </c>
      <c r="I60" s="33">
        <v>0.0</v>
      </c>
      <c r="J60" s="30">
        <v>0.0</v>
      </c>
      <c r="K60" s="30">
        <v>1.0</v>
      </c>
      <c r="L60" s="30">
        <v>0.0</v>
      </c>
      <c r="M60" s="30">
        <f t="shared" si="3"/>
        <v>1</v>
      </c>
      <c r="N60" s="30" t="s">
        <v>88</v>
      </c>
      <c r="O60" s="30" t="str">
        <f t="shared" si="4"/>
        <v>เพียงพอ</v>
      </c>
      <c r="P60" s="30"/>
    </row>
    <row r="61" ht="47.25" customHeight="1">
      <c r="A61" s="30" t="str">
        <f t="shared" si="1"/>
        <v/>
      </c>
      <c r="B61" s="30" t="s">
        <v>159</v>
      </c>
      <c r="C61" s="32" t="str">
        <f t="shared" si="2"/>
        <v/>
      </c>
      <c r="D61" s="33" t="s">
        <v>230</v>
      </c>
      <c r="E61" s="33" t="s">
        <v>231</v>
      </c>
      <c r="F61" s="33" t="s">
        <v>81</v>
      </c>
      <c r="G61" s="33" t="s">
        <v>82</v>
      </c>
      <c r="H61" s="30">
        <v>1.0</v>
      </c>
      <c r="I61" s="33">
        <v>0.0</v>
      </c>
      <c r="J61" s="34">
        <v>0.0</v>
      </c>
      <c r="K61" s="34">
        <v>1.0</v>
      </c>
      <c r="L61" s="34">
        <v>0.0</v>
      </c>
      <c r="M61" s="30">
        <f t="shared" si="3"/>
        <v>1</v>
      </c>
      <c r="N61" s="33" t="s">
        <v>88</v>
      </c>
      <c r="O61" s="30" t="str">
        <f t="shared" si="4"/>
        <v>เพียงพอ</v>
      </c>
      <c r="P61" s="30"/>
    </row>
    <row r="62" ht="47.25" customHeight="1">
      <c r="A62" s="30" t="str">
        <f t="shared" si="1"/>
        <v/>
      </c>
      <c r="B62" s="30" t="s">
        <v>159</v>
      </c>
      <c r="C62" s="32" t="str">
        <f t="shared" si="2"/>
        <v/>
      </c>
      <c r="D62" s="33" t="s">
        <v>232</v>
      </c>
      <c r="E62" s="30" t="s">
        <v>233</v>
      </c>
      <c r="F62" s="33" t="s">
        <v>81</v>
      </c>
      <c r="G62" s="30" t="s">
        <v>82</v>
      </c>
      <c r="H62" s="30">
        <v>1.0</v>
      </c>
      <c r="I62" s="33">
        <v>0.0</v>
      </c>
      <c r="J62" s="30">
        <v>0.0</v>
      </c>
      <c r="K62" s="30">
        <v>1.0</v>
      </c>
      <c r="L62" s="30">
        <v>0.0</v>
      </c>
      <c r="M62" s="30">
        <f t="shared" si="3"/>
        <v>1</v>
      </c>
      <c r="N62" s="30" t="s">
        <v>88</v>
      </c>
      <c r="O62" s="30" t="str">
        <f t="shared" si="4"/>
        <v>เพียงพอ</v>
      </c>
      <c r="P62" s="30"/>
    </row>
    <row r="63" ht="47.25" customHeight="1">
      <c r="A63" s="30" t="str">
        <f t="shared" si="1"/>
        <v/>
      </c>
      <c r="B63" s="35">
        <v>46322.68303240741</v>
      </c>
      <c r="C63" s="32" t="str">
        <f t="shared" si="2"/>
        <v/>
      </c>
      <c r="D63" s="33" t="s">
        <v>234</v>
      </c>
      <c r="E63" s="33" t="s">
        <v>235</v>
      </c>
      <c r="F63" s="33" t="s">
        <v>81</v>
      </c>
      <c r="G63" s="33" t="s">
        <v>82</v>
      </c>
      <c r="H63" s="34">
        <v>1.0</v>
      </c>
      <c r="I63" s="33">
        <v>0.0</v>
      </c>
      <c r="J63" s="34">
        <v>0.0</v>
      </c>
      <c r="K63" s="34">
        <v>1.0</v>
      </c>
      <c r="L63" s="34">
        <v>0.0</v>
      </c>
      <c r="M63" s="30">
        <f t="shared" si="3"/>
        <v>1</v>
      </c>
      <c r="N63" s="33" t="s">
        <v>88</v>
      </c>
      <c r="O63" s="30" t="str">
        <f t="shared" si="4"/>
        <v>เพียงพอ</v>
      </c>
      <c r="P63" s="30"/>
    </row>
    <row r="64" ht="47.25" customHeight="1">
      <c r="A64" s="30" t="str">
        <f t="shared" si="1"/>
        <v/>
      </c>
      <c r="B64" s="30" t="s">
        <v>159</v>
      </c>
      <c r="C64" s="32" t="str">
        <f t="shared" si="2"/>
        <v/>
      </c>
      <c r="D64" s="33" t="s">
        <v>236</v>
      </c>
      <c r="E64" s="33" t="s">
        <v>237</v>
      </c>
      <c r="F64" s="33" t="s">
        <v>81</v>
      </c>
      <c r="G64" s="33" t="s">
        <v>82</v>
      </c>
      <c r="H64" s="30">
        <v>1.0</v>
      </c>
      <c r="I64" s="33">
        <v>0.0</v>
      </c>
      <c r="J64" s="34">
        <v>0.0</v>
      </c>
      <c r="K64" s="34">
        <v>1.0</v>
      </c>
      <c r="L64" s="34">
        <v>0.0</v>
      </c>
      <c r="M64" s="30">
        <f t="shared" si="3"/>
        <v>1</v>
      </c>
      <c r="N64" s="33" t="s">
        <v>88</v>
      </c>
      <c r="O64" s="30" t="str">
        <f t="shared" si="4"/>
        <v>เพียงพอ</v>
      </c>
      <c r="P64" s="33" t="s">
        <v>238</v>
      </c>
    </row>
    <row r="65" ht="47.25" customHeight="1">
      <c r="A65" s="30" t="str">
        <f t="shared" si="1"/>
        <v/>
      </c>
      <c r="B65" s="30" t="s">
        <v>159</v>
      </c>
      <c r="C65" s="32" t="str">
        <f t="shared" si="2"/>
        <v/>
      </c>
      <c r="D65" s="33" t="s">
        <v>239</v>
      </c>
      <c r="E65" s="30" t="s">
        <v>240</v>
      </c>
      <c r="F65" s="33" t="s">
        <v>81</v>
      </c>
      <c r="G65" s="30" t="s">
        <v>82</v>
      </c>
      <c r="H65" s="30">
        <v>1.0</v>
      </c>
      <c r="I65" s="33">
        <v>0.0</v>
      </c>
      <c r="J65" s="30">
        <v>0.0</v>
      </c>
      <c r="K65" s="30">
        <v>1.0</v>
      </c>
      <c r="L65" s="30">
        <v>0.0</v>
      </c>
      <c r="M65" s="30">
        <f t="shared" si="3"/>
        <v>1</v>
      </c>
      <c r="N65" s="30" t="s">
        <v>88</v>
      </c>
      <c r="O65" s="30" t="str">
        <f t="shared" si="4"/>
        <v>เพียงพอ</v>
      </c>
      <c r="P65" s="30" t="s">
        <v>241</v>
      </c>
    </row>
    <row r="66" ht="47.25" customHeight="1">
      <c r="A66" s="30" t="str">
        <f t="shared" si="1"/>
        <v/>
      </c>
      <c r="B66" s="35">
        <v>46322.65372685185</v>
      </c>
      <c r="C66" s="32" t="str">
        <f t="shared" si="2"/>
        <v/>
      </c>
      <c r="D66" s="33" t="s">
        <v>242</v>
      </c>
      <c r="E66" s="33" t="s">
        <v>243</v>
      </c>
      <c r="F66" s="33" t="s">
        <v>81</v>
      </c>
      <c r="G66" s="33" t="s">
        <v>82</v>
      </c>
      <c r="H66" s="34">
        <v>1.0</v>
      </c>
      <c r="I66" s="33">
        <v>0.0</v>
      </c>
      <c r="J66" s="34">
        <v>0.0</v>
      </c>
      <c r="K66" s="34">
        <v>1.0</v>
      </c>
      <c r="L66" s="34">
        <v>0.0</v>
      </c>
      <c r="M66" s="30">
        <f t="shared" si="3"/>
        <v>1</v>
      </c>
      <c r="N66" s="33" t="s">
        <v>88</v>
      </c>
      <c r="O66" s="30" t="str">
        <f t="shared" si="4"/>
        <v>เพียงพอ</v>
      </c>
      <c r="P66" s="33" t="s">
        <v>241</v>
      </c>
    </row>
    <row r="67" ht="47.25" customHeight="1">
      <c r="A67" s="30" t="str">
        <f t="shared" si="1"/>
        <v/>
      </c>
      <c r="B67" s="35">
        <v>46322.65435185185</v>
      </c>
      <c r="C67" s="32" t="str">
        <f t="shared" si="2"/>
        <v/>
      </c>
      <c r="D67" s="33" t="s">
        <v>244</v>
      </c>
      <c r="E67" s="33" t="s">
        <v>245</v>
      </c>
      <c r="F67" s="33" t="s">
        <v>81</v>
      </c>
      <c r="G67" s="33" t="s">
        <v>82</v>
      </c>
      <c r="H67" s="34">
        <v>1.0</v>
      </c>
      <c r="I67" s="33">
        <v>0.0</v>
      </c>
      <c r="J67" s="34">
        <v>0.0</v>
      </c>
      <c r="K67" s="34">
        <v>1.0</v>
      </c>
      <c r="L67" s="34">
        <v>0.0</v>
      </c>
      <c r="M67" s="30">
        <f t="shared" si="3"/>
        <v>1</v>
      </c>
      <c r="N67" s="33" t="s">
        <v>88</v>
      </c>
      <c r="O67" s="30" t="str">
        <f t="shared" si="4"/>
        <v>เพียงพอ</v>
      </c>
      <c r="P67" s="33" t="s">
        <v>241</v>
      </c>
    </row>
    <row r="68" ht="47.25" customHeight="1">
      <c r="A68" s="30" t="str">
        <f t="shared" si="1"/>
        <v/>
      </c>
      <c r="B68" s="35">
        <v>46315.39141203704</v>
      </c>
      <c r="C68" s="32" t="str">
        <f t="shared" si="2"/>
        <v/>
      </c>
      <c r="D68" s="33" t="s">
        <v>246</v>
      </c>
      <c r="E68" s="33" t="s">
        <v>247</v>
      </c>
      <c r="F68" s="33" t="s">
        <v>81</v>
      </c>
      <c r="G68" s="33" t="s">
        <v>82</v>
      </c>
      <c r="H68" s="34">
        <v>1.0</v>
      </c>
      <c r="I68" s="33">
        <v>0.0</v>
      </c>
      <c r="J68" s="34">
        <v>0.0</v>
      </c>
      <c r="K68" s="34">
        <v>1.0</v>
      </c>
      <c r="L68" s="34">
        <v>0.0</v>
      </c>
      <c r="M68" s="30">
        <f t="shared" si="3"/>
        <v>1</v>
      </c>
      <c r="N68" s="33" t="s">
        <v>88</v>
      </c>
      <c r="O68" s="30" t="str">
        <f t="shared" si="4"/>
        <v>เพียงพอ</v>
      </c>
      <c r="P68" s="33" t="s">
        <v>241</v>
      </c>
    </row>
    <row r="69" ht="47.25" customHeight="1">
      <c r="A69" s="30" t="str">
        <f t="shared" si="1"/>
        <v/>
      </c>
      <c r="B69" s="30" t="s">
        <v>159</v>
      </c>
      <c r="C69" s="32" t="str">
        <f t="shared" si="2"/>
        <v/>
      </c>
      <c r="D69" s="33" t="s">
        <v>248</v>
      </c>
      <c r="E69" s="30" t="s">
        <v>249</v>
      </c>
      <c r="F69" s="33" t="s">
        <v>81</v>
      </c>
      <c r="G69" s="30" t="s">
        <v>82</v>
      </c>
      <c r="H69" s="30">
        <v>1.0</v>
      </c>
      <c r="I69" s="33">
        <v>0.0</v>
      </c>
      <c r="J69" s="30">
        <v>0.0</v>
      </c>
      <c r="K69" s="30">
        <v>1.0</v>
      </c>
      <c r="L69" s="30">
        <v>0.0</v>
      </c>
      <c r="M69" s="30">
        <f t="shared" si="3"/>
        <v>1</v>
      </c>
      <c r="N69" s="30" t="s">
        <v>88</v>
      </c>
      <c r="O69" s="30" t="str">
        <f t="shared" si="4"/>
        <v>เพียงพอ</v>
      </c>
      <c r="P69" s="30" t="s">
        <v>241</v>
      </c>
    </row>
    <row r="70" ht="47.25" customHeight="1">
      <c r="A70" s="30" t="str">
        <f t="shared" si="1"/>
        <v/>
      </c>
      <c r="B70" s="30" t="s">
        <v>159</v>
      </c>
      <c r="C70" s="32" t="str">
        <f t="shared" si="2"/>
        <v/>
      </c>
      <c r="D70" s="33" t="s">
        <v>250</v>
      </c>
      <c r="E70" s="30" t="s">
        <v>251</v>
      </c>
      <c r="F70" s="33" t="s">
        <v>81</v>
      </c>
      <c r="G70" s="30" t="s">
        <v>82</v>
      </c>
      <c r="H70" s="30">
        <v>1.0</v>
      </c>
      <c r="I70" s="33">
        <v>0.0</v>
      </c>
      <c r="J70" s="30">
        <v>0.0</v>
      </c>
      <c r="K70" s="30">
        <v>1.0</v>
      </c>
      <c r="L70" s="30">
        <v>0.0</v>
      </c>
      <c r="M70" s="30">
        <f t="shared" si="3"/>
        <v>1</v>
      </c>
      <c r="N70" s="30" t="s">
        <v>88</v>
      </c>
      <c r="O70" s="30" t="str">
        <f t="shared" si="4"/>
        <v>เพียงพอ</v>
      </c>
      <c r="P70" s="30" t="s">
        <v>241</v>
      </c>
    </row>
    <row r="71" ht="47.25" customHeight="1">
      <c r="A71" s="30" t="str">
        <f t="shared" si="1"/>
        <v/>
      </c>
      <c r="B71" s="30" t="s">
        <v>159</v>
      </c>
      <c r="C71" s="32" t="str">
        <f t="shared" si="2"/>
        <v/>
      </c>
      <c r="D71" s="33" t="s">
        <v>252</v>
      </c>
      <c r="E71" s="30" t="s">
        <v>253</v>
      </c>
      <c r="F71" s="33" t="s">
        <v>81</v>
      </c>
      <c r="G71" s="30" t="s">
        <v>82</v>
      </c>
      <c r="H71" s="30">
        <v>1.0</v>
      </c>
      <c r="I71" s="33">
        <v>0.0</v>
      </c>
      <c r="J71" s="30">
        <v>0.0</v>
      </c>
      <c r="K71" s="30">
        <v>1.0</v>
      </c>
      <c r="L71" s="30">
        <v>0.0</v>
      </c>
      <c r="M71" s="30">
        <f t="shared" si="3"/>
        <v>1</v>
      </c>
      <c r="N71" s="30" t="s">
        <v>88</v>
      </c>
      <c r="O71" s="30" t="str">
        <f t="shared" si="4"/>
        <v>เพียงพอ</v>
      </c>
      <c r="P71" s="30" t="s">
        <v>241</v>
      </c>
    </row>
    <row r="72" ht="47.25" customHeight="1">
      <c r="A72" s="30" t="str">
        <f t="shared" si="1"/>
        <v/>
      </c>
      <c r="B72" s="35">
        <v>46315.57953703704</v>
      </c>
      <c r="C72" s="32" t="str">
        <f t="shared" si="2"/>
        <v/>
      </c>
      <c r="D72" s="33" t="s">
        <v>254</v>
      </c>
      <c r="E72" s="33" t="s">
        <v>255</v>
      </c>
      <c r="F72" s="33" t="s">
        <v>81</v>
      </c>
      <c r="G72" s="33" t="s">
        <v>82</v>
      </c>
      <c r="H72" s="34">
        <v>1.0</v>
      </c>
      <c r="I72" s="33">
        <v>0.0</v>
      </c>
      <c r="J72" s="34">
        <v>0.0</v>
      </c>
      <c r="K72" s="34">
        <v>1.0</v>
      </c>
      <c r="L72" s="34">
        <v>0.0</v>
      </c>
      <c r="M72" s="30">
        <f t="shared" si="3"/>
        <v>1</v>
      </c>
      <c r="N72" s="33" t="s">
        <v>88</v>
      </c>
      <c r="O72" s="30" t="str">
        <f t="shared" si="4"/>
        <v>เพียงพอ</v>
      </c>
      <c r="P72" s="33" t="s">
        <v>241</v>
      </c>
    </row>
    <row r="73" ht="47.25" customHeight="1">
      <c r="A73" s="30" t="str">
        <f t="shared" si="1"/>
        <v/>
      </c>
      <c r="B73" s="35">
        <v>46315.5799537037</v>
      </c>
      <c r="C73" s="32" t="str">
        <f t="shared" si="2"/>
        <v/>
      </c>
      <c r="D73" s="33" t="s">
        <v>256</v>
      </c>
      <c r="E73" s="33" t="s">
        <v>257</v>
      </c>
      <c r="F73" s="33" t="s">
        <v>81</v>
      </c>
      <c r="G73" s="33" t="s">
        <v>82</v>
      </c>
      <c r="H73" s="34">
        <v>1.0</v>
      </c>
      <c r="I73" s="33">
        <v>0.0</v>
      </c>
      <c r="J73" s="34">
        <v>0.0</v>
      </c>
      <c r="K73" s="34">
        <v>1.0</v>
      </c>
      <c r="L73" s="34">
        <v>0.0</v>
      </c>
      <c r="M73" s="30">
        <f t="shared" si="3"/>
        <v>1</v>
      </c>
      <c r="N73" s="33" t="s">
        <v>88</v>
      </c>
      <c r="O73" s="30" t="str">
        <f t="shared" si="4"/>
        <v>เพียงพอ</v>
      </c>
      <c r="P73" s="33" t="s">
        <v>241</v>
      </c>
    </row>
    <row r="74" ht="47.25" customHeight="1">
      <c r="A74" s="30" t="str">
        <f t="shared" si="1"/>
        <v/>
      </c>
      <c r="B74" s="35">
        <v>46315.59920138889</v>
      </c>
      <c r="C74" s="32" t="str">
        <f t="shared" si="2"/>
        <v/>
      </c>
      <c r="D74" s="33" t="s">
        <v>258</v>
      </c>
      <c r="E74" s="33" t="s">
        <v>259</v>
      </c>
      <c r="F74" s="33" t="s">
        <v>81</v>
      </c>
      <c r="G74" s="33" t="s">
        <v>82</v>
      </c>
      <c r="H74" s="34">
        <v>1.0</v>
      </c>
      <c r="I74" s="33">
        <v>0.0</v>
      </c>
      <c r="J74" s="34">
        <v>0.0</v>
      </c>
      <c r="K74" s="34">
        <v>1.0</v>
      </c>
      <c r="L74" s="34">
        <v>0.0</v>
      </c>
      <c r="M74" s="30">
        <f t="shared" si="3"/>
        <v>1</v>
      </c>
      <c r="N74" s="33" t="s">
        <v>88</v>
      </c>
      <c r="O74" s="30" t="str">
        <f t="shared" si="4"/>
        <v>เพียงพอ</v>
      </c>
      <c r="P74" s="33" t="s">
        <v>241</v>
      </c>
    </row>
    <row r="75" ht="47.25" customHeight="1">
      <c r="A75" s="30" t="str">
        <f t="shared" si="1"/>
        <v/>
      </c>
      <c r="B75" s="30" t="s">
        <v>159</v>
      </c>
      <c r="C75" s="32" t="str">
        <f t="shared" si="2"/>
        <v/>
      </c>
      <c r="D75" s="33" t="s">
        <v>260</v>
      </c>
      <c r="E75" s="30" t="s">
        <v>261</v>
      </c>
      <c r="F75" s="33" t="s">
        <v>81</v>
      </c>
      <c r="G75" s="30" t="s">
        <v>82</v>
      </c>
      <c r="H75" s="30">
        <v>1.0</v>
      </c>
      <c r="I75" s="33">
        <v>0.0</v>
      </c>
      <c r="J75" s="30">
        <v>0.0</v>
      </c>
      <c r="K75" s="30">
        <v>1.0</v>
      </c>
      <c r="L75" s="30">
        <v>0.0</v>
      </c>
      <c r="M75" s="30">
        <f t="shared" si="3"/>
        <v>1</v>
      </c>
      <c r="N75" s="30" t="s">
        <v>88</v>
      </c>
      <c r="O75" s="30" t="str">
        <f t="shared" si="4"/>
        <v>เพียงพอ</v>
      </c>
      <c r="P75" s="30" t="s">
        <v>241</v>
      </c>
    </row>
    <row r="76" ht="47.25" customHeight="1">
      <c r="A76" s="30" t="str">
        <f t="shared" si="1"/>
        <v/>
      </c>
      <c r="B76" s="35">
        <v>46315.59112268518</v>
      </c>
      <c r="C76" s="32" t="str">
        <f t="shared" si="2"/>
        <v/>
      </c>
      <c r="D76" s="33" t="s">
        <v>262</v>
      </c>
      <c r="E76" s="33" t="s">
        <v>263</v>
      </c>
      <c r="F76" s="33" t="s">
        <v>81</v>
      </c>
      <c r="G76" s="33" t="s">
        <v>82</v>
      </c>
      <c r="H76" s="34">
        <v>1.0</v>
      </c>
      <c r="I76" s="33">
        <v>0.0</v>
      </c>
      <c r="J76" s="34">
        <v>0.0</v>
      </c>
      <c r="K76" s="34">
        <v>1.0</v>
      </c>
      <c r="L76" s="34">
        <v>0.0</v>
      </c>
      <c r="M76" s="30">
        <f t="shared" si="3"/>
        <v>1</v>
      </c>
      <c r="N76" s="33" t="s">
        <v>88</v>
      </c>
      <c r="O76" s="30" t="str">
        <f t="shared" si="4"/>
        <v>เพียงพอ</v>
      </c>
      <c r="P76" s="33" t="s">
        <v>241</v>
      </c>
    </row>
    <row r="77" ht="47.25" customHeight="1">
      <c r="A77" s="30" t="str">
        <f t="shared" si="1"/>
        <v/>
      </c>
      <c r="B77" s="35">
        <v>46315.60391203704</v>
      </c>
      <c r="C77" s="32" t="str">
        <f t="shared" si="2"/>
        <v/>
      </c>
      <c r="D77" s="33" t="s">
        <v>264</v>
      </c>
      <c r="E77" s="33" t="s">
        <v>265</v>
      </c>
      <c r="F77" s="33" t="s">
        <v>81</v>
      </c>
      <c r="G77" s="33" t="s">
        <v>82</v>
      </c>
      <c r="H77" s="34">
        <v>1.0</v>
      </c>
      <c r="I77" s="33">
        <v>0.0</v>
      </c>
      <c r="J77" s="34">
        <v>0.0</v>
      </c>
      <c r="K77" s="34">
        <v>1.0</v>
      </c>
      <c r="L77" s="34">
        <v>0.0</v>
      </c>
      <c r="M77" s="30">
        <f t="shared" si="3"/>
        <v>1</v>
      </c>
      <c r="N77" s="33" t="s">
        <v>88</v>
      </c>
      <c r="O77" s="30" t="str">
        <f t="shared" si="4"/>
        <v>เพียงพอ</v>
      </c>
      <c r="P77" s="33" t="s">
        <v>241</v>
      </c>
    </row>
    <row r="78" ht="47.25" customHeight="1">
      <c r="A78" s="30" t="str">
        <f t="shared" si="1"/>
        <v/>
      </c>
      <c r="B78" s="35">
        <v>46315.47101851852</v>
      </c>
      <c r="C78" s="32" t="str">
        <f t="shared" si="2"/>
        <v/>
      </c>
      <c r="D78" s="33" t="s">
        <v>266</v>
      </c>
      <c r="E78" s="33" t="s">
        <v>267</v>
      </c>
      <c r="F78" s="33" t="s">
        <v>81</v>
      </c>
      <c r="G78" s="33" t="s">
        <v>82</v>
      </c>
      <c r="H78" s="34">
        <v>1.0</v>
      </c>
      <c r="I78" s="33">
        <v>0.0</v>
      </c>
      <c r="J78" s="34">
        <v>0.0</v>
      </c>
      <c r="K78" s="34">
        <v>1.0</v>
      </c>
      <c r="L78" s="34">
        <v>0.0</v>
      </c>
      <c r="M78" s="30">
        <f t="shared" si="3"/>
        <v>1</v>
      </c>
      <c r="N78" s="33" t="s">
        <v>88</v>
      </c>
      <c r="O78" s="30" t="str">
        <f t="shared" si="4"/>
        <v>เพียงพอ</v>
      </c>
      <c r="P78" s="33" t="s">
        <v>241</v>
      </c>
    </row>
    <row r="79" ht="47.25" customHeight="1">
      <c r="A79" s="30" t="str">
        <f t="shared" si="1"/>
        <v/>
      </c>
      <c r="B79" s="35">
        <v>46315.47299768519</v>
      </c>
      <c r="C79" s="32" t="str">
        <f t="shared" si="2"/>
        <v/>
      </c>
      <c r="D79" s="33" t="s">
        <v>268</v>
      </c>
      <c r="E79" s="33" t="s">
        <v>269</v>
      </c>
      <c r="F79" s="33" t="s">
        <v>81</v>
      </c>
      <c r="G79" s="33" t="s">
        <v>82</v>
      </c>
      <c r="H79" s="34">
        <v>1.0</v>
      </c>
      <c r="I79" s="33">
        <v>0.0</v>
      </c>
      <c r="J79" s="34">
        <v>0.0</v>
      </c>
      <c r="K79" s="34">
        <v>1.0</v>
      </c>
      <c r="L79" s="34">
        <v>0.0</v>
      </c>
      <c r="M79" s="30">
        <f t="shared" si="3"/>
        <v>1</v>
      </c>
      <c r="N79" s="33" t="s">
        <v>88</v>
      </c>
      <c r="O79" s="30" t="str">
        <f t="shared" si="4"/>
        <v>เพียงพอ</v>
      </c>
      <c r="P79" s="33" t="s">
        <v>241</v>
      </c>
    </row>
    <row r="80" ht="47.25" customHeight="1">
      <c r="A80" s="30" t="str">
        <f t="shared" si="1"/>
        <v/>
      </c>
      <c r="B80" s="35">
        <v>46322.69065972222</v>
      </c>
      <c r="C80" s="32" t="str">
        <f t="shared" si="2"/>
        <v/>
      </c>
      <c r="D80" s="33" t="s">
        <v>270</v>
      </c>
      <c r="E80" s="33" t="s">
        <v>271</v>
      </c>
      <c r="F80" s="33" t="s">
        <v>81</v>
      </c>
      <c r="G80" s="33" t="s">
        <v>82</v>
      </c>
      <c r="H80" s="34">
        <v>1.0</v>
      </c>
      <c r="I80" s="33">
        <v>2.0</v>
      </c>
      <c r="J80" s="34">
        <v>0.0</v>
      </c>
      <c r="K80" s="34">
        <v>2.0</v>
      </c>
      <c r="L80" s="34">
        <v>0.0</v>
      </c>
      <c r="M80" s="30">
        <f t="shared" si="3"/>
        <v>2</v>
      </c>
      <c r="N80" s="33" t="s">
        <v>88</v>
      </c>
      <c r="O80" s="30" t="str">
        <f t="shared" si="4"/>
        <v>ต้องซื้อเพิ่ม</v>
      </c>
      <c r="P80" s="33" t="s">
        <v>241</v>
      </c>
    </row>
    <row r="81" ht="47.25" customHeight="1">
      <c r="A81" s="30" t="str">
        <f t="shared" si="1"/>
        <v/>
      </c>
      <c r="B81" s="30" t="s">
        <v>159</v>
      </c>
      <c r="C81" s="32" t="str">
        <f t="shared" si="2"/>
        <v/>
      </c>
      <c r="D81" s="33" t="s">
        <v>272</v>
      </c>
      <c r="E81" s="30" t="s">
        <v>273</v>
      </c>
      <c r="F81" s="33" t="s">
        <v>81</v>
      </c>
      <c r="G81" s="30" t="s">
        <v>82</v>
      </c>
      <c r="H81" s="30">
        <v>1.0</v>
      </c>
      <c r="I81" s="33">
        <v>0.0</v>
      </c>
      <c r="J81" s="30">
        <v>0.0</v>
      </c>
      <c r="K81" s="30">
        <v>1.0</v>
      </c>
      <c r="L81" s="30">
        <v>0.0</v>
      </c>
      <c r="M81" s="30">
        <f t="shared" si="3"/>
        <v>1</v>
      </c>
      <c r="N81" s="30" t="s">
        <v>88</v>
      </c>
      <c r="O81" s="30" t="str">
        <f t="shared" si="4"/>
        <v>เพียงพอ</v>
      </c>
      <c r="P81" s="30" t="s">
        <v>241</v>
      </c>
    </row>
    <row r="82" ht="47.25" customHeight="1">
      <c r="A82" s="30" t="str">
        <f t="shared" si="1"/>
        <v/>
      </c>
      <c r="B82" s="30" t="s">
        <v>159</v>
      </c>
      <c r="C82" s="32" t="str">
        <f t="shared" si="2"/>
        <v/>
      </c>
      <c r="D82" s="33" t="s">
        <v>274</v>
      </c>
      <c r="E82" s="30" t="s">
        <v>275</v>
      </c>
      <c r="F82" s="33" t="s">
        <v>81</v>
      </c>
      <c r="G82" s="30" t="s">
        <v>82</v>
      </c>
      <c r="H82" s="30">
        <v>1.0</v>
      </c>
      <c r="I82" s="33">
        <v>0.0</v>
      </c>
      <c r="J82" s="30">
        <v>0.0</v>
      </c>
      <c r="K82" s="30">
        <v>1.0</v>
      </c>
      <c r="L82" s="30">
        <v>0.0</v>
      </c>
      <c r="M82" s="30">
        <f t="shared" si="3"/>
        <v>1</v>
      </c>
      <c r="N82" s="30" t="s">
        <v>88</v>
      </c>
      <c r="O82" s="30" t="str">
        <f t="shared" si="4"/>
        <v>เพียงพอ</v>
      </c>
      <c r="P82" s="30" t="s">
        <v>241</v>
      </c>
    </row>
    <row r="83" ht="47.25" customHeight="1">
      <c r="A83" s="30" t="str">
        <f t="shared" si="1"/>
        <v/>
      </c>
      <c r="B83" s="30" t="s">
        <v>159</v>
      </c>
      <c r="C83" s="32" t="str">
        <f t="shared" si="2"/>
        <v/>
      </c>
      <c r="D83" s="33" t="s">
        <v>276</v>
      </c>
      <c r="E83" s="30" t="s">
        <v>277</v>
      </c>
      <c r="F83" s="33" t="s">
        <v>81</v>
      </c>
      <c r="G83" s="30" t="s">
        <v>82</v>
      </c>
      <c r="H83" s="30">
        <v>1.0</v>
      </c>
      <c r="I83" s="33">
        <v>0.0</v>
      </c>
      <c r="J83" s="30">
        <v>0.0</v>
      </c>
      <c r="K83" s="30">
        <v>1.0</v>
      </c>
      <c r="L83" s="30">
        <v>0.0</v>
      </c>
      <c r="M83" s="30">
        <f t="shared" si="3"/>
        <v>1</v>
      </c>
      <c r="N83" s="30" t="s">
        <v>88</v>
      </c>
      <c r="O83" s="30" t="str">
        <f t="shared" si="4"/>
        <v>เพียงพอ</v>
      </c>
      <c r="P83" s="30" t="s">
        <v>278</v>
      </c>
    </row>
    <row r="84" ht="47.25" customHeight="1">
      <c r="A84" s="30" t="str">
        <f t="shared" si="1"/>
        <v/>
      </c>
      <c r="B84" s="30" t="s">
        <v>159</v>
      </c>
      <c r="C84" s="32" t="str">
        <f t="shared" si="2"/>
        <v/>
      </c>
      <c r="D84" s="33" t="s">
        <v>279</v>
      </c>
      <c r="E84" s="30" t="s">
        <v>280</v>
      </c>
      <c r="F84" s="33" t="s">
        <v>81</v>
      </c>
      <c r="G84" s="30" t="s">
        <v>82</v>
      </c>
      <c r="H84" s="30">
        <v>1.0</v>
      </c>
      <c r="I84" s="33">
        <v>0.0</v>
      </c>
      <c r="J84" s="30">
        <v>0.0</v>
      </c>
      <c r="K84" s="30">
        <v>1.0</v>
      </c>
      <c r="L84" s="30">
        <v>0.0</v>
      </c>
      <c r="M84" s="30">
        <f t="shared" si="3"/>
        <v>1</v>
      </c>
      <c r="N84" s="30" t="s">
        <v>88</v>
      </c>
      <c r="O84" s="30" t="str">
        <f t="shared" si="4"/>
        <v>เพียงพอ</v>
      </c>
      <c r="P84" s="30" t="s">
        <v>278</v>
      </c>
    </row>
    <row r="85" ht="47.25" customHeight="1">
      <c r="A85" s="30" t="str">
        <f t="shared" si="1"/>
        <v/>
      </c>
      <c r="B85" s="30" t="s">
        <v>159</v>
      </c>
      <c r="C85" s="32" t="str">
        <f t="shared" si="2"/>
        <v/>
      </c>
      <c r="D85" s="33" t="s">
        <v>281</v>
      </c>
      <c r="E85" s="30" t="s">
        <v>282</v>
      </c>
      <c r="F85" s="33" t="s">
        <v>81</v>
      </c>
      <c r="G85" s="30" t="s">
        <v>82</v>
      </c>
      <c r="H85" s="30">
        <v>1.0</v>
      </c>
      <c r="I85" s="33">
        <v>0.0</v>
      </c>
      <c r="J85" s="30">
        <v>0.0</v>
      </c>
      <c r="K85" s="30">
        <v>1.0</v>
      </c>
      <c r="L85" s="30">
        <v>0.0</v>
      </c>
      <c r="M85" s="30">
        <f t="shared" si="3"/>
        <v>1</v>
      </c>
      <c r="N85" s="30" t="s">
        <v>88</v>
      </c>
      <c r="O85" s="30" t="str">
        <f t="shared" si="4"/>
        <v>เพียงพอ</v>
      </c>
      <c r="P85" s="30" t="s">
        <v>278</v>
      </c>
    </row>
    <row r="86" ht="47.25" customHeight="1">
      <c r="A86" s="30" t="str">
        <f t="shared" si="1"/>
        <v/>
      </c>
      <c r="B86" s="30" t="s">
        <v>159</v>
      </c>
      <c r="C86" s="32" t="str">
        <f t="shared" si="2"/>
        <v/>
      </c>
      <c r="D86" s="33" t="s">
        <v>283</v>
      </c>
      <c r="E86" s="30" t="s">
        <v>284</v>
      </c>
      <c r="F86" s="33" t="s">
        <v>81</v>
      </c>
      <c r="G86" s="30" t="s">
        <v>82</v>
      </c>
      <c r="H86" s="30">
        <v>1.0</v>
      </c>
      <c r="I86" s="33">
        <v>0.0</v>
      </c>
      <c r="J86" s="30">
        <v>0.0</v>
      </c>
      <c r="K86" s="30">
        <v>1.0</v>
      </c>
      <c r="L86" s="30">
        <v>0.0</v>
      </c>
      <c r="M86" s="30">
        <f t="shared" si="3"/>
        <v>1</v>
      </c>
      <c r="N86" s="30" t="s">
        <v>88</v>
      </c>
      <c r="O86" s="30" t="str">
        <f t="shared" si="4"/>
        <v>เพียงพอ</v>
      </c>
      <c r="P86" s="30" t="s">
        <v>285</v>
      </c>
    </row>
    <row r="87" ht="47.25" customHeight="1">
      <c r="A87" s="30" t="str">
        <f t="shared" si="1"/>
        <v/>
      </c>
      <c r="B87" s="30" t="s">
        <v>159</v>
      </c>
      <c r="C87" s="32" t="str">
        <f t="shared" si="2"/>
        <v/>
      </c>
      <c r="D87" s="33" t="s">
        <v>286</v>
      </c>
      <c r="E87" s="30" t="s">
        <v>287</v>
      </c>
      <c r="F87" s="33" t="s">
        <v>81</v>
      </c>
      <c r="G87" s="30" t="s">
        <v>82</v>
      </c>
      <c r="H87" s="30">
        <v>1.0</v>
      </c>
      <c r="I87" s="33">
        <v>0.0</v>
      </c>
      <c r="J87" s="30">
        <v>0.0</v>
      </c>
      <c r="K87" s="30">
        <v>1.0</v>
      </c>
      <c r="L87" s="30">
        <v>0.0</v>
      </c>
      <c r="M87" s="30">
        <f t="shared" si="3"/>
        <v>1</v>
      </c>
      <c r="N87" s="30" t="s">
        <v>88</v>
      </c>
      <c r="O87" s="30" t="str">
        <f t="shared" si="4"/>
        <v>เพียงพอ</v>
      </c>
      <c r="P87" s="30" t="s">
        <v>285</v>
      </c>
    </row>
    <row r="88" ht="47.25" customHeight="1">
      <c r="A88" s="30" t="str">
        <f t="shared" si="1"/>
        <v/>
      </c>
      <c r="B88" s="30" t="s">
        <v>159</v>
      </c>
      <c r="C88" s="32" t="str">
        <f t="shared" si="2"/>
        <v/>
      </c>
      <c r="D88" s="33" t="s">
        <v>288</v>
      </c>
      <c r="E88" s="30" t="s">
        <v>289</v>
      </c>
      <c r="F88" s="33" t="s">
        <v>81</v>
      </c>
      <c r="G88" s="30" t="s">
        <v>82</v>
      </c>
      <c r="H88" s="30">
        <v>1.0</v>
      </c>
      <c r="I88" s="33">
        <v>0.0</v>
      </c>
      <c r="J88" s="30">
        <v>0.0</v>
      </c>
      <c r="K88" s="30">
        <v>1.0</v>
      </c>
      <c r="L88" s="30">
        <v>0.0</v>
      </c>
      <c r="M88" s="30">
        <f t="shared" si="3"/>
        <v>1</v>
      </c>
      <c r="N88" s="30" t="s">
        <v>88</v>
      </c>
      <c r="O88" s="30" t="str">
        <f t="shared" si="4"/>
        <v>เพียงพอ</v>
      </c>
      <c r="P88" s="30" t="s">
        <v>290</v>
      </c>
    </row>
    <row r="89" ht="47.25" customHeight="1">
      <c r="A89" s="30" t="str">
        <f t="shared" si="1"/>
        <v/>
      </c>
      <c r="B89" s="35">
        <v>46315.588900462964</v>
      </c>
      <c r="C89" s="32" t="str">
        <f t="shared" si="2"/>
        <v/>
      </c>
      <c r="D89" s="33" t="s">
        <v>291</v>
      </c>
      <c r="E89" s="33" t="s">
        <v>271</v>
      </c>
      <c r="F89" s="33" t="s">
        <v>81</v>
      </c>
      <c r="G89" s="33" t="s">
        <v>82</v>
      </c>
      <c r="H89" s="34">
        <v>1.0</v>
      </c>
      <c r="I89" s="33">
        <v>0.0</v>
      </c>
      <c r="J89" s="34">
        <v>0.0</v>
      </c>
      <c r="K89" s="34">
        <v>1.0</v>
      </c>
      <c r="L89" s="34">
        <v>0.0</v>
      </c>
      <c r="M89" s="30">
        <f t="shared" si="3"/>
        <v>1</v>
      </c>
      <c r="N89" s="33" t="s">
        <v>88</v>
      </c>
      <c r="O89" s="30" t="str">
        <f t="shared" si="4"/>
        <v>เพียงพอ</v>
      </c>
      <c r="P89" s="33" t="s">
        <v>285</v>
      </c>
    </row>
    <row r="90" ht="47.25" customHeight="1">
      <c r="A90" s="30" t="str">
        <f t="shared" si="1"/>
        <v/>
      </c>
      <c r="B90" s="30" t="s">
        <v>159</v>
      </c>
      <c r="C90" s="32" t="str">
        <f t="shared" si="2"/>
        <v/>
      </c>
      <c r="D90" s="33" t="s">
        <v>292</v>
      </c>
      <c r="E90" s="30" t="s">
        <v>293</v>
      </c>
      <c r="F90" s="33" t="s">
        <v>294</v>
      </c>
      <c r="G90" s="30" t="s">
        <v>295</v>
      </c>
      <c r="H90" s="30">
        <v>1.0</v>
      </c>
      <c r="I90" s="33">
        <v>0.0</v>
      </c>
      <c r="J90" s="30">
        <v>0.0</v>
      </c>
      <c r="K90" s="30">
        <v>1.0</v>
      </c>
      <c r="L90" s="30">
        <v>0.0</v>
      </c>
      <c r="M90" s="30">
        <f t="shared" si="3"/>
        <v>1</v>
      </c>
      <c r="N90" s="30" t="s">
        <v>88</v>
      </c>
      <c r="O90" s="30" t="str">
        <f t="shared" si="4"/>
        <v>เพียงพอ</v>
      </c>
      <c r="P90" s="30" t="s">
        <v>290</v>
      </c>
    </row>
    <row r="91" ht="47.25" customHeight="1">
      <c r="A91" s="30" t="str">
        <f t="shared" si="1"/>
        <v/>
      </c>
      <c r="B91" s="30" t="s">
        <v>159</v>
      </c>
      <c r="C91" s="32" t="str">
        <f t="shared" si="2"/>
        <v/>
      </c>
      <c r="D91" s="33" t="s">
        <v>296</v>
      </c>
      <c r="E91" s="30" t="s">
        <v>297</v>
      </c>
      <c r="F91" s="33" t="s">
        <v>294</v>
      </c>
      <c r="G91" s="30" t="s">
        <v>295</v>
      </c>
      <c r="H91" s="30">
        <v>1.0</v>
      </c>
      <c r="I91" s="33">
        <v>0.0</v>
      </c>
      <c r="J91" s="30">
        <v>0.0</v>
      </c>
      <c r="K91" s="30">
        <v>1.0</v>
      </c>
      <c r="L91" s="30">
        <v>0.0</v>
      </c>
      <c r="M91" s="30">
        <f t="shared" si="3"/>
        <v>1</v>
      </c>
      <c r="N91" s="30" t="s">
        <v>88</v>
      </c>
      <c r="O91" s="30" t="str">
        <f t="shared" si="4"/>
        <v>เพียงพอ</v>
      </c>
      <c r="P91" s="30" t="s">
        <v>290</v>
      </c>
    </row>
    <row r="92" ht="47.25" customHeight="1">
      <c r="A92" s="30" t="str">
        <f t="shared" si="1"/>
        <v/>
      </c>
      <c r="B92" s="30" t="s">
        <v>159</v>
      </c>
      <c r="C92" s="32" t="str">
        <f t="shared" si="2"/>
        <v/>
      </c>
      <c r="D92" s="33" t="s">
        <v>298</v>
      </c>
      <c r="E92" s="30" t="s">
        <v>299</v>
      </c>
      <c r="F92" s="30" t="s">
        <v>300</v>
      </c>
      <c r="G92" s="30" t="s">
        <v>301</v>
      </c>
      <c r="H92" s="30">
        <v>1.0</v>
      </c>
      <c r="I92" s="33">
        <v>0.0</v>
      </c>
      <c r="J92" s="30">
        <v>0.0</v>
      </c>
      <c r="K92" s="30">
        <v>1.0</v>
      </c>
      <c r="L92" s="30">
        <v>0.0</v>
      </c>
      <c r="M92" s="30">
        <f t="shared" si="3"/>
        <v>1</v>
      </c>
      <c r="N92" s="30" t="s">
        <v>88</v>
      </c>
      <c r="O92" s="30" t="str">
        <f t="shared" si="4"/>
        <v>เพียงพอ</v>
      </c>
      <c r="P92" s="30" t="s">
        <v>290</v>
      </c>
    </row>
    <row r="93" ht="47.25" customHeight="1">
      <c r="A93" s="30" t="str">
        <f t="shared" si="1"/>
        <v/>
      </c>
      <c r="B93" s="30" t="s">
        <v>159</v>
      </c>
      <c r="C93" s="32" t="str">
        <f t="shared" si="2"/>
        <v/>
      </c>
      <c r="D93" s="33" t="s">
        <v>302</v>
      </c>
      <c r="E93" s="30" t="s">
        <v>299</v>
      </c>
      <c r="F93" s="30" t="s">
        <v>300</v>
      </c>
      <c r="G93" s="30" t="s">
        <v>301</v>
      </c>
      <c r="H93" s="30">
        <v>1.0</v>
      </c>
      <c r="I93" s="33">
        <v>0.0</v>
      </c>
      <c r="J93" s="30">
        <v>0.0</v>
      </c>
      <c r="K93" s="30">
        <v>1.0</v>
      </c>
      <c r="L93" s="30">
        <v>0.0</v>
      </c>
      <c r="M93" s="30">
        <f t="shared" si="3"/>
        <v>1</v>
      </c>
      <c r="N93" s="30" t="s">
        <v>88</v>
      </c>
      <c r="O93" s="30" t="str">
        <f t="shared" si="4"/>
        <v>เพียงพอ</v>
      </c>
      <c r="P93" s="30" t="s">
        <v>290</v>
      </c>
    </row>
    <row r="94" ht="47.25" customHeight="1">
      <c r="A94" s="30" t="str">
        <f t="shared" si="1"/>
        <v/>
      </c>
      <c r="B94" s="30" t="s">
        <v>159</v>
      </c>
      <c r="C94" s="32" t="str">
        <f t="shared" si="2"/>
        <v/>
      </c>
      <c r="D94" s="33" t="s">
        <v>303</v>
      </c>
      <c r="E94" s="30" t="s">
        <v>299</v>
      </c>
      <c r="F94" s="30" t="s">
        <v>300</v>
      </c>
      <c r="G94" s="30" t="s">
        <v>301</v>
      </c>
      <c r="H94" s="30">
        <v>1.0</v>
      </c>
      <c r="I94" s="33">
        <v>0.0</v>
      </c>
      <c r="J94" s="30">
        <v>0.0</v>
      </c>
      <c r="K94" s="30">
        <v>1.0</v>
      </c>
      <c r="L94" s="30">
        <v>0.0</v>
      </c>
      <c r="M94" s="30">
        <f t="shared" si="3"/>
        <v>1</v>
      </c>
      <c r="N94" s="30" t="s">
        <v>88</v>
      </c>
      <c r="O94" s="30" t="str">
        <f t="shared" si="4"/>
        <v>เพียงพอ</v>
      </c>
      <c r="P94" s="30" t="s">
        <v>290</v>
      </c>
    </row>
    <row r="95" ht="47.25" customHeight="1">
      <c r="A95" s="30" t="str">
        <f t="shared" si="1"/>
        <v/>
      </c>
      <c r="B95" s="30" t="s">
        <v>159</v>
      </c>
      <c r="C95" s="32" t="str">
        <f t="shared" si="2"/>
        <v/>
      </c>
      <c r="D95" s="33" t="s">
        <v>304</v>
      </c>
      <c r="E95" s="30" t="s">
        <v>305</v>
      </c>
      <c r="F95" s="33" t="s">
        <v>294</v>
      </c>
      <c r="G95" s="30" t="s">
        <v>301</v>
      </c>
      <c r="H95" s="30">
        <v>1.0</v>
      </c>
      <c r="I95" s="33">
        <v>0.0</v>
      </c>
      <c r="J95" s="30">
        <v>0.0</v>
      </c>
      <c r="K95" s="30">
        <v>1.0</v>
      </c>
      <c r="L95" s="30">
        <v>0.0</v>
      </c>
      <c r="M95" s="30">
        <f t="shared" si="3"/>
        <v>1</v>
      </c>
      <c r="N95" s="30" t="s">
        <v>88</v>
      </c>
      <c r="O95" s="30" t="str">
        <f t="shared" si="4"/>
        <v>เพียงพอ</v>
      </c>
      <c r="P95" s="30" t="s">
        <v>290</v>
      </c>
    </row>
    <row r="96" ht="47.25" customHeight="1">
      <c r="A96" s="30" t="str">
        <f t="shared" si="1"/>
        <v/>
      </c>
      <c r="B96" s="30" t="s">
        <v>159</v>
      </c>
      <c r="C96" s="32" t="str">
        <f t="shared" si="2"/>
        <v/>
      </c>
      <c r="D96" s="33" t="s">
        <v>306</v>
      </c>
      <c r="E96" s="30" t="s">
        <v>305</v>
      </c>
      <c r="F96" s="33" t="s">
        <v>294</v>
      </c>
      <c r="G96" s="30" t="s">
        <v>301</v>
      </c>
      <c r="H96" s="30">
        <v>1.0</v>
      </c>
      <c r="I96" s="33">
        <v>0.0</v>
      </c>
      <c r="J96" s="30">
        <v>0.0</v>
      </c>
      <c r="K96" s="30">
        <v>1.0</v>
      </c>
      <c r="L96" s="30">
        <v>0.0</v>
      </c>
      <c r="M96" s="30">
        <f t="shared" si="3"/>
        <v>1</v>
      </c>
      <c r="N96" s="30" t="s">
        <v>88</v>
      </c>
      <c r="O96" s="30" t="str">
        <f t="shared" si="4"/>
        <v>เพียงพอ</v>
      </c>
      <c r="P96" s="30" t="s">
        <v>290</v>
      </c>
    </row>
    <row r="97" ht="47.25" customHeight="1">
      <c r="A97" s="30" t="str">
        <f t="shared" si="1"/>
        <v/>
      </c>
      <c r="B97" s="30" t="s">
        <v>159</v>
      </c>
      <c r="C97" s="32" t="str">
        <f t="shared" si="2"/>
        <v/>
      </c>
      <c r="D97" s="33" t="s">
        <v>307</v>
      </c>
      <c r="E97" s="30" t="s">
        <v>305</v>
      </c>
      <c r="F97" s="33" t="s">
        <v>294</v>
      </c>
      <c r="G97" s="30" t="s">
        <v>301</v>
      </c>
      <c r="H97" s="30">
        <v>1.0</v>
      </c>
      <c r="I97" s="33">
        <v>0.0</v>
      </c>
      <c r="J97" s="30">
        <v>0.0</v>
      </c>
      <c r="K97" s="30">
        <v>1.0</v>
      </c>
      <c r="L97" s="30">
        <v>0.0</v>
      </c>
      <c r="M97" s="30">
        <f t="shared" si="3"/>
        <v>1</v>
      </c>
      <c r="N97" s="30" t="s">
        <v>88</v>
      </c>
      <c r="O97" s="30" t="str">
        <f t="shared" si="4"/>
        <v>เพียงพอ</v>
      </c>
      <c r="P97" s="30" t="s">
        <v>290</v>
      </c>
    </row>
    <row r="98" ht="47.25" customHeight="1">
      <c r="A98" s="30" t="str">
        <f t="shared" si="1"/>
        <v/>
      </c>
      <c r="B98" s="30" t="s">
        <v>159</v>
      </c>
      <c r="C98" s="32" t="str">
        <f t="shared" si="2"/>
        <v/>
      </c>
      <c r="D98" s="33" t="s">
        <v>308</v>
      </c>
      <c r="E98" s="30" t="s">
        <v>309</v>
      </c>
      <c r="F98" s="33" t="s">
        <v>294</v>
      </c>
      <c r="G98" s="30" t="s">
        <v>301</v>
      </c>
      <c r="H98" s="30">
        <v>1.0</v>
      </c>
      <c r="I98" s="33">
        <v>0.0</v>
      </c>
      <c r="J98" s="30">
        <v>0.0</v>
      </c>
      <c r="K98" s="30">
        <v>1.0</v>
      </c>
      <c r="L98" s="30">
        <v>0.0</v>
      </c>
      <c r="M98" s="30">
        <f t="shared" si="3"/>
        <v>1</v>
      </c>
      <c r="N98" s="30" t="s">
        <v>88</v>
      </c>
      <c r="O98" s="30" t="str">
        <f t="shared" si="4"/>
        <v>เพียงพอ</v>
      </c>
      <c r="P98" s="30" t="s">
        <v>290</v>
      </c>
    </row>
    <row r="99" ht="47.25" customHeight="1">
      <c r="A99" s="30" t="str">
        <f t="shared" si="1"/>
        <v/>
      </c>
      <c r="B99" s="30" t="s">
        <v>159</v>
      </c>
      <c r="C99" s="32" t="str">
        <f t="shared" si="2"/>
        <v/>
      </c>
      <c r="D99" s="33" t="s">
        <v>310</v>
      </c>
      <c r="E99" s="30" t="s">
        <v>309</v>
      </c>
      <c r="F99" s="33" t="s">
        <v>294</v>
      </c>
      <c r="G99" s="30" t="s">
        <v>301</v>
      </c>
      <c r="H99" s="30">
        <v>1.0</v>
      </c>
      <c r="I99" s="33">
        <v>0.0</v>
      </c>
      <c r="J99" s="30">
        <v>0.0</v>
      </c>
      <c r="K99" s="30">
        <v>1.0</v>
      </c>
      <c r="L99" s="30">
        <v>0.0</v>
      </c>
      <c r="M99" s="30">
        <f t="shared" si="3"/>
        <v>1</v>
      </c>
      <c r="N99" s="30" t="s">
        <v>88</v>
      </c>
      <c r="O99" s="30" t="str">
        <f t="shared" si="4"/>
        <v>เพียงพอ</v>
      </c>
      <c r="P99" s="30" t="s">
        <v>290</v>
      </c>
    </row>
    <row r="100" ht="47.25" customHeight="1">
      <c r="A100" s="30" t="str">
        <f t="shared" si="1"/>
        <v/>
      </c>
      <c r="B100" s="30" t="s">
        <v>159</v>
      </c>
      <c r="C100" s="32" t="str">
        <f t="shared" si="2"/>
        <v/>
      </c>
      <c r="D100" s="33" t="s">
        <v>311</v>
      </c>
      <c r="E100" s="30" t="s">
        <v>312</v>
      </c>
      <c r="F100" s="30" t="s">
        <v>300</v>
      </c>
      <c r="G100" s="30" t="s">
        <v>301</v>
      </c>
      <c r="H100" s="30">
        <v>1.0</v>
      </c>
      <c r="I100" s="33">
        <v>0.0</v>
      </c>
      <c r="J100" s="30">
        <v>0.0</v>
      </c>
      <c r="K100" s="30">
        <v>1.0</v>
      </c>
      <c r="L100" s="30">
        <v>0.0</v>
      </c>
      <c r="M100" s="30">
        <f t="shared" si="3"/>
        <v>1</v>
      </c>
      <c r="N100" s="30" t="s">
        <v>88</v>
      </c>
      <c r="O100" s="30" t="str">
        <f t="shared" si="4"/>
        <v>เพียงพอ</v>
      </c>
      <c r="P100" s="30" t="s">
        <v>290</v>
      </c>
    </row>
    <row r="101" ht="47.25" customHeight="1">
      <c r="A101" s="30" t="str">
        <f t="shared" si="1"/>
        <v/>
      </c>
      <c r="B101" s="30" t="s">
        <v>159</v>
      </c>
      <c r="C101" s="32" t="str">
        <f t="shared" si="2"/>
        <v/>
      </c>
      <c r="D101" s="33" t="s">
        <v>313</v>
      </c>
      <c r="E101" s="30" t="s">
        <v>314</v>
      </c>
      <c r="F101" s="33" t="s">
        <v>294</v>
      </c>
      <c r="G101" s="30" t="s">
        <v>301</v>
      </c>
      <c r="H101" s="30">
        <v>1.0</v>
      </c>
      <c r="I101" s="33">
        <v>0.0</v>
      </c>
      <c r="J101" s="30">
        <v>0.0</v>
      </c>
      <c r="K101" s="30">
        <v>1.0</v>
      </c>
      <c r="L101" s="30">
        <v>0.0</v>
      </c>
      <c r="M101" s="30">
        <f t="shared" si="3"/>
        <v>1</v>
      </c>
      <c r="N101" s="30" t="s">
        <v>88</v>
      </c>
      <c r="O101" s="30" t="str">
        <f t="shared" si="4"/>
        <v>เพียงพอ</v>
      </c>
      <c r="P101" s="30" t="s">
        <v>290</v>
      </c>
    </row>
    <row r="102" ht="47.25" customHeight="1">
      <c r="A102" s="30" t="str">
        <f t="shared" si="1"/>
        <v/>
      </c>
      <c r="B102" s="30" t="s">
        <v>159</v>
      </c>
      <c r="C102" s="32" t="str">
        <f t="shared" si="2"/>
        <v/>
      </c>
      <c r="D102" s="33" t="s">
        <v>315</v>
      </c>
      <c r="E102" s="30" t="s">
        <v>316</v>
      </c>
      <c r="F102" s="33" t="s">
        <v>294</v>
      </c>
      <c r="G102" s="30" t="s">
        <v>301</v>
      </c>
      <c r="H102" s="30">
        <v>1.0</v>
      </c>
      <c r="I102" s="33">
        <v>0.0</v>
      </c>
      <c r="J102" s="30">
        <v>0.0</v>
      </c>
      <c r="K102" s="30">
        <v>1.0</v>
      </c>
      <c r="L102" s="30">
        <v>0.0</v>
      </c>
      <c r="M102" s="30">
        <f t="shared" si="3"/>
        <v>1</v>
      </c>
      <c r="N102" s="30" t="s">
        <v>88</v>
      </c>
      <c r="O102" s="30" t="str">
        <f t="shared" si="4"/>
        <v>เพียงพอ</v>
      </c>
      <c r="P102" s="30" t="s">
        <v>290</v>
      </c>
    </row>
    <row r="103" ht="47.25" customHeight="1">
      <c r="A103" s="30" t="str">
        <f t="shared" si="1"/>
        <v/>
      </c>
      <c r="B103" s="30" t="s">
        <v>159</v>
      </c>
      <c r="C103" s="32" t="str">
        <f t="shared" si="2"/>
        <v/>
      </c>
      <c r="D103" s="33" t="s">
        <v>317</v>
      </c>
      <c r="E103" s="30" t="s">
        <v>318</v>
      </c>
      <c r="F103" s="33" t="s">
        <v>294</v>
      </c>
      <c r="G103" s="30" t="s">
        <v>301</v>
      </c>
      <c r="H103" s="30">
        <v>1.0</v>
      </c>
      <c r="I103" s="33">
        <v>0.0</v>
      </c>
      <c r="J103" s="30">
        <v>0.0</v>
      </c>
      <c r="K103" s="30">
        <v>1.0</v>
      </c>
      <c r="L103" s="30">
        <v>0.0</v>
      </c>
      <c r="M103" s="30">
        <f t="shared" si="3"/>
        <v>1</v>
      </c>
      <c r="N103" s="30" t="s">
        <v>88</v>
      </c>
      <c r="O103" s="30" t="str">
        <f t="shared" si="4"/>
        <v>เพียงพอ</v>
      </c>
      <c r="P103" s="30" t="s">
        <v>290</v>
      </c>
    </row>
    <row r="104" ht="47.25" customHeight="1">
      <c r="A104" s="30" t="str">
        <f t="shared" si="1"/>
        <v/>
      </c>
      <c r="B104" s="30" t="s">
        <v>159</v>
      </c>
      <c r="C104" s="32" t="str">
        <f t="shared" si="2"/>
        <v/>
      </c>
      <c r="D104" s="33" t="s">
        <v>319</v>
      </c>
      <c r="E104" s="30" t="s">
        <v>320</v>
      </c>
      <c r="F104" s="33" t="s">
        <v>294</v>
      </c>
      <c r="G104" s="30" t="s">
        <v>301</v>
      </c>
      <c r="H104" s="30">
        <v>3.0</v>
      </c>
      <c r="I104" s="33">
        <v>0.0</v>
      </c>
      <c r="J104" s="30">
        <v>0.0</v>
      </c>
      <c r="K104" s="30">
        <v>3.0</v>
      </c>
      <c r="L104" s="30">
        <v>0.0</v>
      </c>
      <c r="M104" s="30">
        <f t="shared" si="3"/>
        <v>3</v>
      </c>
      <c r="N104" s="30" t="s">
        <v>88</v>
      </c>
      <c r="O104" s="30" t="str">
        <f t="shared" si="4"/>
        <v>เพียงพอ</v>
      </c>
      <c r="P104" s="30" t="s">
        <v>290</v>
      </c>
    </row>
    <row r="105" ht="47.25" customHeight="1">
      <c r="A105" s="30" t="str">
        <f t="shared" si="1"/>
        <v/>
      </c>
      <c r="B105" s="30" t="s">
        <v>159</v>
      </c>
      <c r="C105" s="32" t="str">
        <f t="shared" si="2"/>
        <v/>
      </c>
      <c r="D105" s="33" t="s">
        <v>321</v>
      </c>
      <c r="E105" s="30" t="s">
        <v>322</v>
      </c>
      <c r="F105" s="33" t="s">
        <v>294</v>
      </c>
      <c r="G105" s="30" t="s">
        <v>301</v>
      </c>
      <c r="H105" s="30">
        <v>2.0</v>
      </c>
      <c r="I105" s="33">
        <v>0.0</v>
      </c>
      <c r="J105" s="30">
        <v>0.0</v>
      </c>
      <c r="K105" s="30">
        <v>2.0</v>
      </c>
      <c r="L105" s="30">
        <v>0.0</v>
      </c>
      <c r="M105" s="30">
        <f t="shared" si="3"/>
        <v>2</v>
      </c>
      <c r="N105" s="30" t="s">
        <v>88</v>
      </c>
      <c r="O105" s="30" t="str">
        <f t="shared" si="4"/>
        <v>เพียงพอ</v>
      </c>
      <c r="P105" s="30" t="s">
        <v>290</v>
      </c>
    </row>
    <row r="106" ht="47.25" customHeight="1">
      <c r="A106" s="30" t="str">
        <f t="shared" si="1"/>
        <v/>
      </c>
      <c r="B106" s="30" t="s">
        <v>159</v>
      </c>
      <c r="C106" s="32" t="str">
        <f t="shared" si="2"/>
        <v/>
      </c>
      <c r="D106" s="33" t="s">
        <v>323</v>
      </c>
      <c r="E106" s="30" t="s">
        <v>324</v>
      </c>
      <c r="F106" s="33" t="s">
        <v>294</v>
      </c>
      <c r="G106" s="30" t="s">
        <v>301</v>
      </c>
      <c r="H106" s="30">
        <v>2.0</v>
      </c>
      <c r="I106" s="33">
        <v>0.0</v>
      </c>
      <c r="J106" s="30">
        <v>0.0</v>
      </c>
      <c r="K106" s="30">
        <v>2.0</v>
      </c>
      <c r="L106" s="30">
        <v>0.0</v>
      </c>
      <c r="M106" s="30">
        <f t="shared" si="3"/>
        <v>2</v>
      </c>
      <c r="N106" s="30" t="s">
        <v>88</v>
      </c>
      <c r="O106" s="30" t="str">
        <f t="shared" si="4"/>
        <v>เพียงพอ</v>
      </c>
      <c r="P106" s="30" t="s">
        <v>290</v>
      </c>
    </row>
    <row r="107" ht="47.25" customHeight="1">
      <c r="A107" s="30" t="str">
        <f t="shared" si="1"/>
        <v/>
      </c>
      <c r="B107" s="30" t="s">
        <v>159</v>
      </c>
      <c r="C107" s="32" t="str">
        <f t="shared" si="2"/>
        <v/>
      </c>
      <c r="D107" s="33" t="s">
        <v>325</v>
      </c>
      <c r="E107" s="30" t="s">
        <v>326</v>
      </c>
      <c r="F107" s="33" t="s">
        <v>294</v>
      </c>
      <c r="G107" s="30" t="s">
        <v>301</v>
      </c>
      <c r="H107" s="30">
        <v>1.0</v>
      </c>
      <c r="I107" s="33">
        <v>0.0</v>
      </c>
      <c r="J107" s="30">
        <v>0.0</v>
      </c>
      <c r="K107" s="30">
        <v>1.0</v>
      </c>
      <c r="L107" s="30">
        <v>0.0</v>
      </c>
      <c r="M107" s="30">
        <f t="shared" si="3"/>
        <v>1</v>
      </c>
      <c r="N107" s="30" t="s">
        <v>88</v>
      </c>
      <c r="O107" s="30" t="str">
        <f t="shared" si="4"/>
        <v>เพียงพอ</v>
      </c>
      <c r="P107" s="30" t="s">
        <v>290</v>
      </c>
    </row>
    <row r="108" ht="47.25" customHeight="1">
      <c r="A108" s="30" t="str">
        <f t="shared" si="1"/>
        <v/>
      </c>
      <c r="B108" s="30" t="s">
        <v>159</v>
      </c>
      <c r="C108" s="32" t="str">
        <f t="shared" si="2"/>
        <v/>
      </c>
      <c r="D108" s="33" t="s">
        <v>327</v>
      </c>
      <c r="E108" s="30" t="s">
        <v>328</v>
      </c>
      <c r="F108" s="33" t="s">
        <v>294</v>
      </c>
      <c r="G108" s="30" t="s">
        <v>301</v>
      </c>
      <c r="H108" s="30">
        <v>1.0</v>
      </c>
      <c r="I108" s="33">
        <v>0.0</v>
      </c>
      <c r="J108" s="30">
        <v>0.0</v>
      </c>
      <c r="K108" s="30">
        <v>1.0</v>
      </c>
      <c r="L108" s="30">
        <v>0.0</v>
      </c>
      <c r="M108" s="30">
        <f t="shared" si="3"/>
        <v>1</v>
      </c>
      <c r="N108" s="30" t="s">
        <v>88</v>
      </c>
      <c r="O108" s="30" t="str">
        <f t="shared" si="4"/>
        <v>เพียงพอ</v>
      </c>
      <c r="P108" s="30" t="s">
        <v>290</v>
      </c>
    </row>
    <row r="109" ht="47.25" customHeight="1">
      <c r="A109" s="30" t="str">
        <f t="shared" si="1"/>
        <v/>
      </c>
      <c r="B109" s="30" t="s">
        <v>159</v>
      </c>
      <c r="C109" s="32" t="str">
        <f t="shared" si="2"/>
        <v/>
      </c>
      <c r="D109" s="33" t="s">
        <v>329</v>
      </c>
      <c r="E109" s="30" t="s">
        <v>326</v>
      </c>
      <c r="F109" s="33" t="s">
        <v>294</v>
      </c>
      <c r="G109" s="30" t="s">
        <v>301</v>
      </c>
      <c r="H109" s="30">
        <v>1.0</v>
      </c>
      <c r="I109" s="33">
        <v>0.0</v>
      </c>
      <c r="J109" s="30">
        <v>0.0</v>
      </c>
      <c r="K109" s="30">
        <v>1.0</v>
      </c>
      <c r="L109" s="30">
        <v>0.0</v>
      </c>
      <c r="M109" s="30">
        <f t="shared" si="3"/>
        <v>1</v>
      </c>
      <c r="N109" s="30" t="s">
        <v>88</v>
      </c>
      <c r="O109" s="30" t="str">
        <f t="shared" si="4"/>
        <v>เพียงพอ</v>
      </c>
      <c r="P109" s="30" t="s">
        <v>290</v>
      </c>
    </row>
    <row r="110" ht="47.25" customHeight="1">
      <c r="A110" s="30" t="str">
        <f t="shared" si="1"/>
        <v/>
      </c>
      <c r="B110" s="30" t="s">
        <v>159</v>
      </c>
      <c r="C110" s="32" t="str">
        <f t="shared" si="2"/>
        <v/>
      </c>
      <c r="D110" s="33" t="s">
        <v>330</v>
      </c>
      <c r="E110" s="30" t="s">
        <v>331</v>
      </c>
      <c r="F110" s="33" t="s">
        <v>294</v>
      </c>
      <c r="G110" s="30" t="s">
        <v>301</v>
      </c>
      <c r="H110" s="30">
        <v>1.0</v>
      </c>
      <c r="I110" s="33">
        <v>0.0</v>
      </c>
      <c r="J110" s="30">
        <v>0.0</v>
      </c>
      <c r="K110" s="30">
        <v>1.0</v>
      </c>
      <c r="L110" s="30">
        <v>0.0</v>
      </c>
      <c r="M110" s="30">
        <f t="shared" si="3"/>
        <v>1</v>
      </c>
      <c r="N110" s="30" t="s">
        <v>88</v>
      </c>
      <c r="O110" s="30" t="str">
        <f t="shared" si="4"/>
        <v>เพียงพอ</v>
      </c>
      <c r="P110" s="30" t="s">
        <v>290</v>
      </c>
    </row>
    <row r="111" ht="47.25" customHeight="1">
      <c r="A111" s="30" t="str">
        <f t="shared" si="1"/>
        <v/>
      </c>
      <c r="B111" s="30" t="s">
        <v>159</v>
      </c>
      <c r="C111" s="32" t="str">
        <f t="shared" si="2"/>
        <v/>
      </c>
      <c r="D111" s="33" t="s">
        <v>332</v>
      </c>
      <c r="E111" s="30" t="s">
        <v>333</v>
      </c>
      <c r="F111" s="33" t="s">
        <v>294</v>
      </c>
      <c r="G111" s="30" t="s">
        <v>301</v>
      </c>
      <c r="H111" s="30">
        <v>1.0</v>
      </c>
      <c r="I111" s="33">
        <v>0.0</v>
      </c>
      <c r="J111" s="30">
        <v>0.0</v>
      </c>
      <c r="K111" s="30">
        <v>1.0</v>
      </c>
      <c r="L111" s="30">
        <v>0.0</v>
      </c>
      <c r="M111" s="30">
        <f t="shared" si="3"/>
        <v>1</v>
      </c>
      <c r="N111" s="30" t="s">
        <v>88</v>
      </c>
      <c r="O111" s="30" t="str">
        <f t="shared" si="4"/>
        <v>เพียงพอ</v>
      </c>
      <c r="P111" s="30" t="s">
        <v>290</v>
      </c>
    </row>
    <row r="112" ht="47.25" customHeight="1">
      <c r="A112" s="30" t="str">
        <f t="shared" si="1"/>
        <v/>
      </c>
      <c r="B112" s="35">
        <v>46315.475949074076</v>
      </c>
      <c r="C112" s="32" t="str">
        <f t="shared" si="2"/>
        <v/>
      </c>
      <c r="D112" s="33" t="s">
        <v>334</v>
      </c>
      <c r="E112" s="33" t="s">
        <v>335</v>
      </c>
      <c r="F112" s="33" t="s">
        <v>294</v>
      </c>
      <c r="G112" s="33" t="s">
        <v>301</v>
      </c>
      <c r="H112" s="34">
        <v>1.0</v>
      </c>
      <c r="I112" s="33">
        <v>0.0</v>
      </c>
      <c r="J112" s="34">
        <v>0.0</v>
      </c>
      <c r="K112" s="34">
        <v>1.0</v>
      </c>
      <c r="L112" s="34">
        <v>0.0</v>
      </c>
      <c r="M112" s="30">
        <f t="shared" si="3"/>
        <v>1</v>
      </c>
      <c r="N112" s="33" t="s">
        <v>88</v>
      </c>
      <c r="O112" s="30" t="str">
        <f t="shared" si="4"/>
        <v>เพียงพอ</v>
      </c>
      <c r="P112" s="33" t="s">
        <v>290</v>
      </c>
    </row>
    <row r="113" ht="47.25" customHeight="1">
      <c r="A113" s="30" t="str">
        <f t="shared" si="1"/>
        <v/>
      </c>
      <c r="B113" s="30" t="s">
        <v>159</v>
      </c>
      <c r="C113" s="32" t="str">
        <f t="shared" si="2"/>
        <v/>
      </c>
      <c r="D113" s="33" t="s">
        <v>336</v>
      </c>
      <c r="E113" s="30" t="s">
        <v>337</v>
      </c>
      <c r="F113" s="33" t="s">
        <v>294</v>
      </c>
      <c r="G113" s="30" t="s">
        <v>301</v>
      </c>
      <c r="H113" s="30">
        <v>1.0</v>
      </c>
      <c r="I113" s="33">
        <v>0.0</v>
      </c>
      <c r="J113" s="30">
        <v>0.0</v>
      </c>
      <c r="K113" s="30">
        <v>1.0</v>
      </c>
      <c r="L113" s="30">
        <v>0.0</v>
      </c>
      <c r="M113" s="30">
        <f t="shared" si="3"/>
        <v>1</v>
      </c>
      <c r="N113" s="30" t="s">
        <v>88</v>
      </c>
      <c r="O113" s="30" t="str">
        <f t="shared" si="4"/>
        <v>เพียงพอ</v>
      </c>
      <c r="P113" s="30" t="s">
        <v>290</v>
      </c>
    </row>
    <row r="114" ht="47.25" customHeight="1">
      <c r="A114" s="30" t="str">
        <f t="shared" si="1"/>
        <v/>
      </c>
      <c r="B114" s="30" t="s">
        <v>159</v>
      </c>
      <c r="C114" s="32" t="str">
        <f t="shared" si="2"/>
        <v/>
      </c>
      <c r="D114" s="33" t="s">
        <v>338</v>
      </c>
      <c r="E114" s="30" t="s">
        <v>339</v>
      </c>
      <c r="F114" s="33" t="s">
        <v>294</v>
      </c>
      <c r="G114" s="30" t="s">
        <v>301</v>
      </c>
      <c r="H114" s="30">
        <v>1.0</v>
      </c>
      <c r="I114" s="33">
        <v>0.0</v>
      </c>
      <c r="J114" s="30">
        <v>0.0</v>
      </c>
      <c r="K114" s="30">
        <v>1.0</v>
      </c>
      <c r="L114" s="30">
        <v>0.0</v>
      </c>
      <c r="M114" s="30">
        <f t="shared" si="3"/>
        <v>1</v>
      </c>
      <c r="N114" s="30" t="s">
        <v>88</v>
      </c>
      <c r="O114" s="30" t="str">
        <f t="shared" si="4"/>
        <v>เพียงพอ</v>
      </c>
      <c r="P114" s="30" t="s">
        <v>290</v>
      </c>
    </row>
    <row r="115" ht="47.25" customHeight="1">
      <c r="A115" s="30" t="str">
        <f t="shared" si="1"/>
        <v/>
      </c>
      <c r="B115" s="35">
        <v>46315.429606481484</v>
      </c>
      <c r="C115" s="32" t="str">
        <f t="shared" si="2"/>
        <v/>
      </c>
      <c r="D115" s="33" t="s">
        <v>340</v>
      </c>
      <c r="E115" s="33" t="s">
        <v>341</v>
      </c>
      <c r="F115" s="33" t="s">
        <v>294</v>
      </c>
      <c r="G115" s="33" t="s">
        <v>301</v>
      </c>
      <c r="H115" s="34">
        <v>1.0</v>
      </c>
      <c r="I115" s="33">
        <v>0.0</v>
      </c>
      <c r="J115" s="34">
        <v>0.0</v>
      </c>
      <c r="K115" s="34">
        <v>2.0</v>
      </c>
      <c r="L115" s="34">
        <v>0.0</v>
      </c>
      <c r="M115" s="30">
        <f t="shared" si="3"/>
        <v>2</v>
      </c>
      <c r="N115" s="33" t="s">
        <v>88</v>
      </c>
      <c r="O115" s="30" t="str">
        <f t="shared" si="4"/>
        <v>เพียงพอ</v>
      </c>
      <c r="P115" s="33" t="s">
        <v>342</v>
      </c>
    </row>
    <row r="116" ht="47.25" customHeight="1">
      <c r="A116" s="30" t="str">
        <f t="shared" si="1"/>
        <v/>
      </c>
      <c r="B116" s="30" t="s">
        <v>159</v>
      </c>
      <c r="C116" s="32" t="str">
        <f t="shared" si="2"/>
        <v/>
      </c>
      <c r="D116" s="33" t="s">
        <v>343</v>
      </c>
      <c r="E116" s="30" t="s">
        <v>344</v>
      </c>
      <c r="F116" s="33" t="s">
        <v>294</v>
      </c>
      <c r="G116" s="30" t="s">
        <v>301</v>
      </c>
      <c r="H116" s="30">
        <v>1.0</v>
      </c>
      <c r="I116" s="33">
        <v>0.0</v>
      </c>
      <c r="J116" s="30">
        <v>0.0</v>
      </c>
      <c r="K116" s="30">
        <v>1.0</v>
      </c>
      <c r="L116" s="30">
        <v>0.0</v>
      </c>
      <c r="M116" s="30">
        <f t="shared" si="3"/>
        <v>1</v>
      </c>
      <c r="N116" s="30" t="s">
        <v>88</v>
      </c>
      <c r="O116" s="30" t="str">
        <f t="shared" si="4"/>
        <v>เพียงพอ</v>
      </c>
      <c r="P116" s="30" t="s">
        <v>290</v>
      </c>
    </row>
    <row r="117" ht="47.25" customHeight="1">
      <c r="A117" s="30" t="str">
        <f t="shared" si="1"/>
        <v/>
      </c>
      <c r="B117" s="30" t="s">
        <v>159</v>
      </c>
      <c r="C117" s="32" t="str">
        <f t="shared" si="2"/>
        <v/>
      </c>
      <c r="D117" s="33" t="s">
        <v>345</v>
      </c>
      <c r="E117" s="30" t="s">
        <v>299</v>
      </c>
      <c r="F117" s="30" t="s">
        <v>300</v>
      </c>
      <c r="G117" s="30" t="s">
        <v>301</v>
      </c>
      <c r="H117" s="30">
        <v>1.0</v>
      </c>
      <c r="I117" s="33">
        <v>0.0</v>
      </c>
      <c r="J117" s="30">
        <v>0.0</v>
      </c>
      <c r="K117" s="30">
        <v>1.0</v>
      </c>
      <c r="L117" s="30">
        <v>0.0</v>
      </c>
      <c r="M117" s="30">
        <f t="shared" si="3"/>
        <v>1</v>
      </c>
      <c r="N117" s="30" t="s">
        <v>88</v>
      </c>
      <c r="O117" s="30" t="str">
        <f t="shared" si="4"/>
        <v>เพียงพอ</v>
      </c>
      <c r="P117" s="30" t="s">
        <v>290</v>
      </c>
    </row>
    <row r="118" ht="47.25" customHeight="1">
      <c r="A118" s="30" t="str">
        <f t="shared" si="1"/>
        <v/>
      </c>
      <c r="B118" s="30" t="s">
        <v>159</v>
      </c>
      <c r="C118" s="32" t="str">
        <f t="shared" si="2"/>
        <v/>
      </c>
      <c r="D118" s="33" t="s">
        <v>346</v>
      </c>
      <c r="E118" s="30" t="s">
        <v>347</v>
      </c>
      <c r="F118" s="33" t="s">
        <v>294</v>
      </c>
      <c r="G118" s="30" t="s">
        <v>301</v>
      </c>
      <c r="H118" s="30">
        <v>1.0</v>
      </c>
      <c r="I118" s="33">
        <v>0.0</v>
      </c>
      <c r="J118" s="30">
        <v>0.0</v>
      </c>
      <c r="K118" s="30">
        <v>1.0</v>
      </c>
      <c r="L118" s="30">
        <v>0.0</v>
      </c>
      <c r="M118" s="30">
        <f t="shared" si="3"/>
        <v>1</v>
      </c>
      <c r="N118" s="30" t="s">
        <v>88</v>
      </c>
      <c r="O118" s="30" t="str">
        <f t="shared" si="4"/>
        <v>เพียงพอ</v>
      </c>
      <c r="P118" s="30" t="s">
        <v>290</v>
      </c>
    </row>
    <row r="119" ht="47.25" customHeight="1">
      <c r="A119" s="30" t="str">
        <f t="shared" si="1"/>
        <v/>
      </c>
      <c r="B119" s="30" t="s">
        <v>159</v>
      </c>
      <c r="C119" s="32" t="str">
        <f t="shared" si="2"/>
        <v/>
      </c>
      <c r="D119" s="33" t="s">
        <v>348</v>
      </c>
      <c r="E119" s="30" t="s">
        <v>349</v>
      </c>
      <c r="F119" s="33" t="s">
        <v>294</v>
      </c>
      <c r="G119" s="30" t="s">
        <v>301</v>
      </c>
      <c r="H119" s="30">
        <v>1.0</v>
      </c>
      <c r="I119" s="33">
        <v>0.0</v>
      </c>
      <c r="J119" s="30">
        <v>0.0</v>
      </c>
      <c r="K119" s="30">
        <v>1.0</v>
      </c>
      <c r="L119" s="30">
        <v>0.0</v>
      </c>
      <c r="M119" s="30">
        <f t="shared" si="3"/>
        <v>1</v>
      </c>
      <c r="N119" s="30" t="s">
        <v>88</v>
      </c>
      <c r="O119" s="30" t="str">
        <f t="shared" si="4"/>
        <v>เพียงพอ</v>
      </c>
      <c r="P119" s="30" t="s">
        <v>290</v>
      </c>
    </row>
    <row r="120" ht="47.25" customHeight="1">
      <c r="A120" s="30" t="str">
        <f t="shared" si="1"/>
        <v/>
      </c>
      <c r="B120" s="30" t="s">
        <v>159</v>
      </c>
      <c r="C120" s="32" t="str">
        <f t="shared" si="2"/>
        <v/>
      </c>
      <c r="D120" s="33" t="s">
        <v>350</v>
      </c>
      <c r="E120" s="30" t="s">
        <v>351</v>
      </c>
      <c r="F120" s="33" t="s">
        <v>294</v>
      </c>
      <c r="G120" s="30" t="s">
        <v>301</v>
      </c>
      <c r="H120" s="30">
        <v>2.0</v>
      </c>
      <c r="I120" s="33">
        <v>0.0</v>
      </c>
      <c r="J120" s="30">
        <v>0.0</v>
      </c>
      <c r="K120" s="30">
        <v>2.0</v>
      </c>
      <c r="L120" s="30">
        <v>0.0</v>
      </c>
      <c r="M120" s="30">
        <f t="shared" si="3"/>
        <v>2</v>
      </c>
      <c r="N120" s="30" t="s">
        <v>88</v>
      </c>
      <c r="O120" s="30" t="str">
        <f t="shared" si="4"/>
        <v>เพียงพอ</v>
      </c>
      <c r="P120" s="30" t="s">
        <v>290</v>
      </c>
    </row>
    <row r="121" ht="47.25" customHeight="1">
      <c r="A121" s="30" t="str">
        <f t="shared" si="1"/>
        <v/>
      </c>
      <c r="B121" s="30" t="s">
        <v>159</v>
      </c>
      <c r="C121" s="32" t="str">
        <f t="shared" si="2"/>
        <v/>
      </c>
      <c r="D121" s="33" t="s">
        <v>352</v>
      </c>
      <c r="E121" s="30" t="s">
        <v>353</v>
      </c>
      <c r="F121" s="33" t="s">
        <v>294</v>
      </c>
      <c r="G121" s="30" t="s">
        <v>301</v>
      </c>
      <c r="H121" s="30">
        <v>4.0</v>
      </c>
      <c r="I121" s="33">
        <v>0.0</v>
      </c>
      <c r="J121" s="30">
        <v>0.0</v>
      </c>
      <c r="K121" s="30">
        <v>4.0</v>
      </c>
      <c r="L121" s="30">
        <v>0.0</v>
      </c>
      <c r="M121" s="30">
        <f t="shared" si="3"/>
        <v>4</v>
      </c>
      <c r="N121" s="30" t="s">
        <v>88</v>
      </c>
      <c r="O121" s="30" t="str">
        <f t="shared" si="4"/>
        <v>เพียงพอ</v>
      </c>
      <c r="P121" s="30" t="s">
        <v>290</v>
      </c>
    </row>
    <row r="122" ht="47.25" customHeight="1">
      <c r="A122" s="30" t="str">
        <f t="shared" si="1"/>
        <v/>
      </c>
      <c r="B122" s="30" t="s">
        <v>159</v>
      </c>
      <c r="C122" s="32" t="str">
        <f t="shared" si="2"/>
        <v/>
      </c>
      <c r="D122" s="33" t="s">
        <v>354</v>
      </c>
      <c r="E122" s="30" t="s">
        <v>355</v>
      </c>
      <c r="F122" s="33" t="s">
        <v>294</v>
      </c>
      <c r="G122" s="30" t="s">
        <v>356</v>
      </c>
      <c r="H122" s="30">
        <v>1.0</v>
      </c>
      <c r="I122" s="33">
        <v>0.0</v>
      </c>
      <c r="J122" s="30">
        <v>0.0</v>
      </c>
      <c r="K122" s="30">
        <v>1.0</v>
      </c>
      <c r="L122" s="30">
        <v>0.0</v>
      </c>
      <c r="M122" s="30">
        <f t="shared" si="3"/>
        <v>1</v>
      </c>
      <c r="N122" s="30" t="s">
        <v>88</v>
      </c>
      <c r="O122" s="30" t="str">
        <f t="shared" si="4"/>
        <v>เพียงพอ</v>
      </c>
      <c r="P122" s="30" t="s">
        <v>290</v>
      </c>
    </row>
    <row r="123" ht="47.25" customHeight="1">
      <c r="A123" s="30" t="str">
        <f t="shared" si="1"/>
        <v/>
      </c>
      <c r="B123" s="30" t="s">
        <v>159</v>
      </c>
      <c r="C123" s="32" t="str">
        <f t="shared" si="2"/>
        <v/>
      </c>
      <c r="D123" s="33" t="s">
        <v>357</v>
      </c>
      <c r="E123" s="30" t="s">
        <v>358</v>
      </c>
      <c r="F123" s="33" t="s">
        <v>294</v>
      </c>
      <c r="G123" s="30" t="s">
        <v>359</v>
      </c>
      <c r="H123" s="30">
        <v>1.0</v>
      </c>
      <c r="I123" s="33">
        <v>0.0</v>
      </c>
      <c r="J123" s="30">
        <v>0.0</v>
      </c>
      <c r="K123" s="30">
        <v>1.0</v>
      </c>
      <c r="L123" s="30">
        <v>0.0</v>
      </c>
      <c r="M123" s="30">
        <f t="shared" si="3"/>
        <v>1</v>
      </c>
      <c r="N123" s="30" t="s">
        <v>88</v>
      </c>
      <c r="O123" s="30" t="str">
        <f t="shared" si="4"/>
        <v>เพียงพอ</v>
      </c>
      <c r="P123" s="30" t="s">
        <v>290</v>
      </c>
    </row>
    <row r="124" ht="47.25" customHeight="1">
      <c r="A124" s="30" t="str">
        <f t="shared" si="1"/>
        <v/>
      </c>
      <c r="B124" s="35">
        <v>46315.405011574076</v>
      </c>
      <c r="C124" s="32" t="str">
        <f t="shared" si="2"/>
        <v/>
      </c>
      <c r="D124" s="33" t="s">
        <v>360</v>
      </c>
      <c r="E124" s="33" t="s">
        <v>361</v>
      </c>
      <c r="F124" s="33" t="s">
        <v>294</v>
      </c>
      <c r="G124" s="33" t="s">
        <v>359</v>
      </c>
      <c r="H124" s="34">
        <v>1.0</v>
      </c>
      <c r="I124" s="33">
        <v>0.0</v>
      </c>
      <c r="J124" s="34">
        <v>0.0</v>
      </c>
      <c r="K124" s="34">
        <v>1.0</v>
      </c>
      <c r="L124" s="34">
        <v>0.0</v>
      </c>
      <c r="M124" s="30">
        <f t="shared" si="3"/>
        <v>1</v>
      </c>
      <c r="N124" s="33" t="s">
        <v>88</v>
      </c>
      <c r="O124" s="30" t="str">
        <f t="shared" si="4"/>
        <v>เพียงพอ</v>
      </c>
      <c r="P124" s="33" t="s">
        <v>362</v>
      </c>
    </row>
    <row r="125" ht="47.25" customHeight="1">
      <c r="A125" s="30" t="str">
        <f t="shared" si="1"/>
        <v/>
      </c>
      <c r="B125" s="30" t="s">
        <v>159</v>
      </c>
      <c r="C125" s="32" t="str">
        <f t="shared" si="2"/>
        <v/>
      </c>
      <c r="D125" s="33" t="s">
        <v>363</v>
      </c>
      <c r="E125" s="30" t="s">
        <v>361</v>
      </c>
      <c r="F125" s="33" t="s">
        <v>294</v>
      </c>
      <c r="G125" s="30" t="s">
        <v>364</v>
      </c>
      <c r="H125" s="30">
        <v>1.0</v>
      </c>
      <c r="I125" s="33">
        <v>0.0</v>
      </c>
      <c r="J125" s="30">
        <v>0.0</v>
      </c>
      <c r="K125" s="30">
        <v>1.0</v>
      </c>
      <c r="L125" s="30">
        <v>0.0</v>
      </c>
      <c r="M125" s="30">
        <f t="shared" si="3"/>
        <v>1</v>
      </c>
      <c r="N125" s="30" t="s">
        <v>88</v>
      </c>
      <c r="O125" s="30" t="str">
        <f t="shared" si="4"/>
        <v>เพียงพอ</v>
      </c>
      <c r="P125" s="30" t="s">
        <v>290</v>
      </c>
    </row>
    <row r="126" ht="47.25" customHeight="1">
      <c r="A126" s="30" t="str">
        <f t="shared" si="1"/>
        <v/>
      </c>
      <c r="B126" s="30" t="s">
        <v>159</v>
      </c>
      <c r="C126" s="32" t="str">
        <f t="shared" si="2"/>
        <v/>
      </c>
      <c r="D126" s="33" t="s">
        <v>365</v>
      </c>
      <c r="E126" s="30" t="s">
        <v>305</v>
      </c>
      <c r="F126" s="33" t="s">
        <v>294</v>
      </c>
      <c r="G126" s="30" t="s">
        <v>366</v>
      </c>
      <c r="H126" s="30">
        <v>1.0</v>
      </c>
      <c r="I126" s="33">
        <v>0.0</v>
      </c>
      <c r="J126" s="30">
        <v>0.0</v>
      </c>
      <c r="K126" s="30">
        <v>1.0</v>
      </c>
      <c r="L126" s="30">
        <v>0.0</v>
      </c>
      <c r="M126" s="30">
        <f t="shared" si="3"/>
        <v>1</v>
      </c>
      <c r="N126" s="30" t="s">
        <v>88</v>
      </c>
      <c r="O126" s="30" t="str">
        <f t="shared" si="4"/>
        <v>เพียงพอ</v>
      </c>
      <c r="P126" s="30" t="s">
        <v>290</v>
      </c>
    </row>
    <row r="127" ht="47.25" customHeight="1">
      <c r="A127" s="30" t="str">
        <f t="shared" si="1"/>
        <v/>
      </c>
      <c r="B127" s="30" t="s">
        <v>159</v>
      </c>
      <c r="C127" s="32" t="str">
        <f t="shared" si="2"/>
        <v/>
      </c>
      <c r="D127" s="33" t="s">
        <v>367</v>
      </c>
      <c r="E127" s="30" t="s">
        <v>368</v>
      </c>
      <c r="F127" s="30" t="s">
        <v>300</v>
      </c>
      <c r="G127" s="30" t="s">
        <v>369</v>
      </c>
      <c r="H127" s="30">
        <v>1.0</v>
      </c>
      <c r="I127" s="33">
        <v>0.0</v>
      </c>
      <c r="J127" s="30">
        <v>0.0</v>
      </c>
      <c r="K127" s="30">
        <v>1.0</v>
      </c>
      <c r="L127" s="30">
        <v>0.0</v>
      </c>
      <c r="M127" s="30">
        <f t="shared" si="3"/>
        <v>1</v>
      </c>
      <c r="N127" s="30" t="s">
        <v>88</v>
      </c>
      <c r="O127" s="30" t="str">
        <f t="shared" si="4"/>
        <v>เพียงพอ</v>
      </c>
      <c r="P127" s="30" t="s">
        <v>290</v>
      </c>
    </row>
    <row r="128" ht="47.25" customHeight="1">
      <c r="A128" s="30" t="str">
        <f t="shared" si="1"/>
        <v/>
      </c>
      <c r="B128" s="30" t="s">
        <v>159</v>
      </c>
      <c r="C128" s="32" t="str">
        <f t="shared" si="2"/>
        <v/>
      </c>
      <c r="D128" s="33" t="s">
        <v>370</v>
      </c>
      <c r="E128" s="30" t="s">
        <v>368</v>
      </c>
      <c r="F128" s="30" t="s">
        <v>300</v>
      </c>
      <c r="G128" s="30" t="s">
        <v>371</v>
      </c>
      <c r="H128" s="30">
        <v>1.0</v>
      </c>
      <c r="I128" s="33">
        <v>0.0</v>
      </c>
      <c r="J128" s="30">
        <v>0.0</v>
      </c>
      <c r="K128" s="30">
        <v>1.0</v>
      </c>
      <c r="L128" s="30">
        <v>0.0</v>
      </c>
      <c r="M128" s="30">
        <f t="shared" si="3"/>
        <v>1</v>
      </c>
      <c r="N128" s="30" t="s">
        <v>88</v>
      </c>
      <c r="O128" s="30" t="str">
        <f t="shared" si="4"/>
        <v>เพียงพอ</v>
      </c>
      <c r="P128" s="30" t="s">
        <v>290</v>
      </c>
    </row>
    <row r="129" ht="47.25" customHeight="1">
      <c r="A129" s="30" t="str">
        <f t="shared" si="1"/>
        <v/>
      </c>
      <c r="B129" s="30" t="s">
        <v>159</v>
      </c>
      <c r="C129" s="32" t="str">
        <f t="shared" si="2"/>
        <v/>
      </c>
      <c r="D129" s="33" t="s">
        <v>372</v>
      </c>
      <c r="E129" s="30" t="s">
        <v>373</v>
      </c>
      <c r="F129" s="30" t="s">
        <v>300</v>
      </c>
      <c r="G129" s="30" t="s">
        <v>374</v>
      </c>
      <c r="H129" s="30">
        <v>1.0</v>
      </c>
      <c r="I129" s="33">
        <v>0.0</v>
      </c>
      <c r="J129" s="30">
        <v>0.0</v>
      </c>
      <c r="K129" s="30">
        <v>1.0</v>
      </c>
      <c r="L129" s="30">
        <v>0.0</v>
      </c>
      <c r="M129" s="30">
        <f t="shared" si="3"/>
        <v>1</v>
      </c>
      <c r="N129" s="30" t="s">
        <v>88</v>
      </c>
      <c r="O129" s="30" t="str">
        <f t="shared" si="4"/>
        <v>เพียงพอ</v>
      </c>
      <c r="P129" s="30" t="s">
        <v>290</v>
      </c>
    </row>
    <row r="130" ht="47.25" customHeight="1">
      <c r="A130" s="30" t="str">
        <f t="shared" si="1"/>
        <v/>
      </c>
      <c r="B130" s="30" t="s">
        <v>159</v>
      </c>
      <c r="C130" s="32" t="str">
        <f t="shared" si="2"/>
        <v/>
      </c>
      <c r="D130" s="33" t="s">
        <v>375</v>
      </c>
      <c r="E130" s="30" t="s">
        <v>314</v>
      </c>
      <c r="F130" s="30" t="s">
        <v>300</v>
      </c>
      <c r="G130" s="30" t="s">
        <v>376</v>
      </c>
      <c r="H130" s="30">
        <v>1.0</v>
      </c>
      <c r="I130" s="33">
        <v>0.0</v>
      </c>
      <c r="J130" s="30">
        <v>0.0</v>
      </c>
      <c r="K130" s="30">
        <v>1.0</v>
      </c>
      <c r="L130" s="30">
        <v>0.0</v>
      </c>
      <c r="M130" s="30">
        <f t="shared" si="3"/>
        <v>1</v>
      </c>
      <c r="N130" s="30" t="s">
        <v>88</v>
      </c>
      <c r="O130" s="30" t="str">
        <f t="shared" si="4"/>
        <v>เพียงพอ</v>
      </c>
      <c r="P130" s="30" t="s">
        <v>290</v>
      </c>
    </row>
    <row r="131" ht="47.25" customHeight="1">
      <c r="A131" s="30" t="str">
        <f t="shared" si="1"/>
        <v/>
      </c>
      <c r="B131" s="30" t="s">
        <v>159</v>
      </c>
      <c r="C131" s="32" t="str">
        <f t="shared" si="2"/>
        <v/>
      </c>
      <c r="D131" s="33" t="s">
        <v>377</v>
      </c>
      <c r="E131" s="30" t="s">
        <v>378</v>
      </c>
      <c r="F131" s="30" t="s">
        <v>300</v>
      </c>
      <c r="G131" s="30" t="s">
        <v>379</v>
      </c>
      <c r="H131" s="30">
        <v>1.0</v>
      </c>
      <c r="I131" s="33">
        <v>0.0</v>
      </c>
      <c r="J131" s="30">
        <v>0.0</v>
      </c>
      <c r="K131" s="30">
        <v>1.0</v>
      </c>
      <c r="L131" s="30">
        <v>0.0</v>
      </c>
      <c r="M131" s="30">
        <f t="shared" si="3"/>
        <v>1</v>
      </c>
      <c r="N131" s="30" t="s">
        <v>88</v>
      </c>
      <c r="O131" s="30" t="str">
        <f t="shared" si="4"/>
        <v>เพียงพอ</v>
      </c>
      <c r="P131" s="30" t="s">
        <v>290</v>
      </c>
    </row>
    <row r="132" ht="47.25" customHeight="1">
      <c r="A132" s="30" t="str">
        <f t="shared" si="1"/>
        <v/>
      </c>
      <c r="B132" s="30" t="s">
        <v>159</v>
      </c>
      <c r="C132" s="32" t="str">
        <f t="shared" si="2"/>
        <v/>
      </c>
      <c r="D132" s="33" t="s">
        <v>380</v>
      </c>
      <c r="E132" s="30" t="s">
        <v>381</v>
      </c>
      <c r="F132" s="33" t="s">
        <v>294</v>
      </c>
      <c r="G132" s="30" t="s">
        <v>364</v>
      </c>
      <c r="H132" s="30">
        <v>1.0</v>
      </c>
      <c r="I132" s="33">
        <v>0.0</v>
      </c>
      <c r="J132" s="30">
        <v>0.0</v>
      </c>
      <c r="K132" s="30">
        <v>1.0</v>
      </c>
      <c r="L132" s="30">
        <v>0.0</v>
      </c>
      <c r="M132" s="30">
        <f t="shared" si="3"/>
        <v>1</v>
      </c>
      <c r="N132" s="30" t="s">
        <v>88</v>
      </c>
      <c r="O132" s="30" t="str">
        <f t="shared" si="4"/>
        <v>เพียงพอ</v>
      </c>
      <c r="P132" s="30" t="s">
        <v>290</v>
      </c>
    </row>
    <row r="133" ht="47.25" customHeight="1">
      <c r="A133" s="30" t="str">
        <f t="shared" si="1"/>
        <v/>
      </c>
      <c r="B133" s="30" t="s">
        <v>159</v>
      </c>
      <c r="C133" s="32" t="str">
        <f t="shared" si="2"/>
        <v/>
      </c>
      <c r="D133" s="33" t="s">
        <v>382</v>
      </c>
      <c r="E133" s="30" t="s">
        <v>383</v>
      </c>
      <c r="F133" s="33" t="s">
        <v>294</v>
      </c>
      <c r="G133" s="30" t="s">
        <v>384</v>
      </c>
      <c r="H133" s="30">
        <v>1.0</v>
      </c>
      <c r="I133" s="33">
        <v>0.0</v>
      </c>
      <c r="J133" s="30">
        <v>0.0</v>
      </c>
      <c r="K133" s="30">
        <v>1.0</v>
      </c>
      <c r="L133" s="30">
        <v>0.0</v>
      </c>
      <c r="M133" s="30">
        <f t="shared" si="3"/>
        <v>1</v>
      </c>
      <c r="N133" s="30" t="s">
        <v>88</v>
      </c>
      <c r="O133" s="30" t="str">
        <f t="shared" si="4"/>
        <v>เพียงพอ</v>
      </c>
      <c r="P133" s="30" t="s">
        <v>290</v>
      </c>
    </row>
    <row r="134" ht="47.25" customHeight="1">
      <c r="A134" s="30" t="str">
        <f t="shared" si="1"/>
        <v/>
      </c>
      <c r="B134" s="30" t="s">
        <v>159</v>
      </c>
      <c r="C134" s="32" t="str">
        <f t="shared" si="2"/>
        <v/>
      </c>
      <c r="D134" s="33" t="s">
        <v>385</v>
      </c>
      <c r="E134" s="30" t="s">
        <v>386</v>
      </c>
      <c r="F134" s="33" t="s">
        <v>294</v>
      </c>
      <c r="G134" s="30" t="s">
        <v>379</v>
      </c>
      <c r="H134" s="30">
        <v>1.0</v>
      </c>
      <c r="I134" s="33">
        <v>0.0</v>
      </c>
      <c r="J134" s="30">
        <v>0.0</v>
      </c>
      <c r="K134" s="30">
        <v>1.0</v>
      </c>
      <c r="L134" s="30">
        <v>0.0</v>
      </c>
      <c r="M134" s="30">
        <f t="shared" si="3"/>
        <v>1</v>
      </c>
      <c r="N134" s="30" t="s">
        <v>88</v>
      </c>
      <c r="O134" s="30" t="str">
        <f t="shared" si="4"/>
        <v>เพียงพอ</v>
      </c>
      <c r="P134" s="30" t="s">
        <v>290</v>
      </c>
    </row>
    <row r="135" ht="47.25" customHeight="1">
      <c r="A135" s="30" t="str">
        <f t="shared" si="1"/>
        <v/>
      </c>
      <c r="B135" s="30" t="s">
        <v>159</v>
      </c>
      <c r="C135" s="32" t="str">
        <f t="shared" si="2"/>
        <v/>
      </c>
      <c r="D135" s="33" t="s">
        <v>387</v>
      </c>
      <c r="E135" s="30" t="s">
        <v>388</v>
      </c>
      <c r="F135" s="33" t="s">
        <v>294</v>
      </c>
      <c r="G135" s="30" t="s">
        <v>366</v>
      </c>
      <c r="H135" s="30">
        <v>1.0</v>
      </c>
      <c r="I135" s="33">
        <v>0.0</v>
      </c>
      <c r="J135" s="30">
        <v>0.0</v>
      </c>
      <c r="K135" s="30">
        <v>1.0</v>
      </c>
      <c r="L135" s="30">
        <v>0.0</v>
      </c>
      <c r="M135" s="30">
        <f t="shared" si="3"/>
        <v>1</v>
      </c>
      <c r="N135" s="30" t="s">
        <v>88</v>
      </c>
      <c r="O135" s="30" t="str">
        <f t="shared" si="4"/>
        <v>เพียงพอ</v>
      </c>
      <c r="P135" s="30" t="s">
        <v>290</v>
      </c>
    </row>
    <row r="136" ht="47.25" customHeight="1">
      <c r="A136" s="30" t="str">
        <f t="shared" si="1"/>
        <v/>
      </c>
      <c r="B136" s="30" t="s">
        <v>159</v>
      </c>
      <c r="C136" s="32" t="str">
        <f t="shared" si="2"/>
        <v/>
      </c>
      <c r="D136" s="33" t="s">
        <v>389</v>
      </c>
      <c r="E136" s="30" t="s">
        <v>390</v>
      </c>
      <c r="F136" s="33" t="s">
        <v>294</v>
      </c>
      <c r="G136" s="30" t="s">
        <v>391</v>
      </c>
      <c r="H136" s="30">
        <v>1.0</v>
      </c>
      <c r="I136" s="33">
        <v>0.0</v>
      </c>
      <c r="J136" s="30">
        <v>0.0</v>
      </c>
      <c r="K136" s="30">
        <v>1.0</v>
      </c>
      <c r="L136" s="30">
        <v>0.0</v>
      </c>
      <c r="M136" s="30">
        <f t="shared" si="3"/>
        <v>1</v>
      </c>
      <c r="N136" s="30" t="s">
        <v>88</v>
      </c>
      <c r="O136" s="30" t="str">
        <f t="shared" si="4"/>
        <v>เพียงพอ</v>
      </c>
      <c r="P136" s="30" t="s">
        <v>290</v>
      </c>
    </row>
    <row r="137" ht="47.25" customHeight="1">
      <c r="A137" s="30" t="str">
        <f t="shared" si="1"/>
        <v/>
      </c>
      <c r="B137" s="30" t="s">
        <v>159</v>
      </c>
      <c r="C137" s="32" t="str">
        <f t="shared" si="2"/>
        <v/>
      </c>
      <c r="D137" s="33" t="s">
        <v>392</v>
      </c>
      <c r="E137" s="30" t="s">
        <v>393</v>
      </c>
      <c r="F137" s="33" t="s">
        <v>294</v>
      </c>
      <c r="G137" s="30" t="s">
        <v>394</v>
      </c>
      <c r="H137" s="30">
        <v>1.0</v>
      </c>
      <c r="I137" s="33">
        <v>0.0</v>
      </c>
      <c r="J137" s="30">
        <v>0.0</v>
      </c>
      <c r="K137" s="30">
        <v>1.0</v>
      </c>
      <c r="L137" s="30">
        <v>0.0</v>
      </c>
      <c r="M137" s="30">
        <f t="shared" si="3"/>
        <v>1</v>
      </c>
      <c r="N137" s="30" t="s">
        <v>88</v>
      </c>
      <c r="O137" s="30" t="str">
        <f t="shared" si="4"/>
        <v>เพียงพอ</v>
      </c>
      <c r="P137" s="30" t="s">
        <v>290</v>
      </c>
    </row>
    <row r="138" ht="47.25" customHeight="1">
      <c r="A138" s="30" t="str">
        <f t="shared" si="1"/>
        <v/>
      </c>
      <c r="B138" s="30" t="s">
        <v>159</v>
      </c>
      <c r="C138" s="32" t="str">
        <f t="shared" si="2"/>
        <v/>
      </c>
      <c r="D138" s="33" t="s">
        <v>395</v>
      </c>
      <c r="E138" s="30" t="s">
        <v>396</v>
      </c>
      <c r="F138" s="33" t="s">
        <v>294</v>
      </c>
      <c r="G138" s="30" t="s">
        <v>397</v>
      </c>
      <c r="H138" s="30">
        <v>1.0</v>
      </c>
      <c r="I138" s="33">
        <v>0.0</v>
      </c>
      <c r="J138" s="30">
        <v>0.0</v>
      </c>
      <c r="K138" s="30">
        <v>1.0</v>
      </c>
      <c r="L138" s="30">
        <v>0.0</v>
      </c>
      <c r="M138" s="30">
        <f t="shared" si="3"/>
        <v>1</v>
      </c>
      <c r="N138" s="30" t="s">
        <v>88</v>
      </c>
      <c r="O138" s="30" t="str">
        <f t="shared" si="4"/>
        <v>เพียงพอ</v>
      </c>
      <c r="P138" s="30" t="s">
        <v>290</v>
      </c>
    </row>
    <row r="139" ht="47.25" customHeight="1">
      <c r="A139" s="30" t="str">
        <f t="shared" si="1"/>
        <v/>
      </c>
      <c r="B139" s="30" t="s">
        <v>159</v>
      </c>
      <c r="C139" s="32" t="str">
        <f t="shared" si="2"/>
        <v/>
      </c>
      <c r="D139" s="33" t="s">
        <v>399</v>
      </c>
      <c r="E139" s="30" t="s">
        <v>400</v>
      </c>
      <c r="F139" s="33" t="s">
        <v>294</v>
      </c>
      <c r="G139" s="30" t="s">
        <v>366</v>
      </c>
      <c r="H139" s="30">
        <v>1.0</v>
      </c>
      <c r="I139" s="33">
        <v>0.0</v>
      </c>
      <c r="J139" s="30">
        <v>0.0</v>
      </c>
      <c r="K139" s="30">
        <v>1.0</v>
      </c>
      <c r="L139" s="30">
        <v>0.0</v>
      </c>
      <c r="M139" s="30">
        <f t="shared" si="3"/>
        <v>1</v>
      </c>
      <c r="N139" s="30" t="s">
        <v>88</v>
      </c>
      <c r="O139" s="30" t="str">
        <f t="shared" si="4"/>
        <v>เพียงพอ</v>
      </c>
      <c r="P139" s="30" t="s">
        <v>290</v>
      </c>
    </row>
    <row r="140" ht="47.25" customHeight="1">
      <c r="A140" s="30" t="str">
        <f t="shared" si="1"/>
        <v/>
      </c>
      <c r="B140" s="30" t="s">
        <v>159</v>
      </c>
      <c r="C140" s="32" t="str">
        <f t="shared" si="2"/>
        <v/>
      </c>
      <c r="D140" s="33" t="s">
        <v>404</v>
      </c>
      <c r="E140" s="30" t="s">
        <v>400</v>
      </c>
      <c r="F140" s="33" t="s">
        <v>294</v>
      </c>
      <c r="G140" s="30" t="s">
        <v>384</v>
      </c>
      <c r="H140" s="30">
        <v>1.0</v>
      </c>
      <c r="I140" s="33">
        <v>0.0</v>
      </c>
      <c r="J140" s="30">
        <v>0.0</v>
      </c>
      <c r="K140" s="30">
        <v>1.0</v>
      </c>
      <c r="L140" s="30">
        <v>0.0</v>
      </c>
      <c r="M140" s="30">
        <f t="shared" si="3"/>
        <v>1</v>
      </c>
      <c r="N140" s="30" t="s">
        <v>88</v>
      </c>
      <c r="O140" s="30" t="str">
        <f t="shared" si="4"/>
        <v>เพียงพอ</v>
      </c>
      <c r="P140" s="30" t="s">
        <v>290</v>
      </c>
    </row>
    <row r="141" ht="47.25" customHeight="1">
      <c r="A141" s="30" t="str">
        <f t="shared" si="1"/>
        <v/>
      </c>
      <c r="B141" s="30" t="s">
        <v>159</v>
      </c>
      <c r="C141" s="32" t="str">
        <f t="shared" si="2"/>
        <v/>
      </c>
      <c r="D141" s="33" t="s">
        <v>405</v>
      </c>
      <c r="E141" s="30" t="s">
        <v>406</v>
      </c>
      <c r="F141" s="33" t="s">
        <v>294</v>
      </c>
      <c r="G141" s="30" t="s">
        <v>407</v>
      </c>
      <c r="H141" s="30">
        <v>1.0</v>
      </c>
      <c r="I141" s="33">
        <v>0.0</v>
      </c>
      <c r="J141" s="30">
        <v>0.0</v>
      </c>
      <c r="K141" s="30">
        <v>1.0</v>
      </c>
      <c r="L141" s="30">
        <v>0.0</v>
      </c>
      <c r="M141" s="30">
        <f t="shared" si="3"/>
        <v>1</v>
      </c>
      <c r="N141" s="30" t="s">
        <v>88</v>
      </c>
      <c r="O141" s="30" t="str">
        <f t="shared" si="4"/>
        <v>เพียงพอ</v>
      </c>
      <c r="P141" s="30" t="s">
        <v>290</v>
      </c>
    </row>
    <row r="142" ht="47.25" customHeight="1">
      <c r="A142" s="30" t="str">
        <f t="shared" si="1"/>
        <v/>
      </c>
      <c r="B142" s="30" t="s">
        <v>159</v>
      </c>
      <c r="C142" s="32" t="str">
        <f t="shared" si="2"/>
        <v/>
      </c>
      <c r="D142" s="33" t="s">
        <v>408</v>
      </c>
      <c r="E142" s="30" t="s">
        <v>409</v>
      </c>
      <c r="F142" s="33" t="s">
        <v>294</v>
      </c>
      <c r="G142" s="30" t="s">
        <v>410</v>
      </c>
      <c r="H142" s="30">
        <v>2.0</v>
      </c>
      <c r="I142" s="33">
        <v>0.0</v>
      </c>
      <c r="J142" s="30">
        <v>0.0</v>
      </c>
      <c r="K142" s="30">
        <v>2.0</v>
      </c>
      <c r="L142" s="30">
        <v>0.0</v>
      </c>
      <c r="M142" s="30">
        <f t="shared" si="3"/>
        <v>2</v>
      </c>
      <c r="N142" s="30" t="s">
        <v>88</v>
      </c>
      <c r="O142" s="30" t="str">
        <f t="shared" si="4"/>
        <v>เพียงพอ</v>
      </c>
      <c r="P142" s="30" t="s">
        <v>290</v>
      </c>
    </row>
    <row r="143" ht="47.25" customHeight="1">
      <c r="A143" s="30" t="str">
        <f t="shared" si="1"/>
        <v/>
      </c>
      <c r="B143" s="30" t="s">
        <v>159</v>
      </c>
      <c r="C143" s="32" t="str">
        <f t="shared" si="2"/>
        <v/>
      </c>
      <c r="D143" s="33" t="s">
        <v>411</v>
      </c>
      <c r="E143" s="30" t="s">
        <v>412</v>
      </c>
      <c r="F143" s="33" t="s">
        <v>294</v>
      </c>
      <c r="G143" s="30" t="s">
        <v>391</v>
      </c>
      <c r="H143" s="30">
        <v>1.0</v>
      </c>
      <c r="I143" s="33">
        <v>0.0</v>
      </c>
      <c r="J143" s="30">
        <v>0.0</v>
      </c>
      <c r="K143" s="30">
        <v>1.0</v>
      </c>
      <c r="L143" s="30">
        <v>0.0</v>
      </c>
      <c r="M143" s="30">
        <f t="shared" si="3"/>
        <v>1</v>
      </c>
      <c r="N143" s="30" t="s">
        <v>88</v>
      </c>
      <c r="O143" s="30" t="str">
        <f t="shared" si="4"/>
        <v>เพียงพอ</v>
      </c>
      <c r="P143" s="30" t="s">
        <v>290</v>
      </c>
    </row>
    <row r="144" ht="47.25" customHeight="1">
      <c r="A144" s="30" t="str">
        <f t="shared" si="1"/>
        <v/>
      </c>
      <c r="B144" s="30" t="s">
        <v>159</v>
      </c>
      <c r="C144" s="32" t="str">
        <f t="shared" si="2"/>
        <v/>
      </c>
      <c r="D144" s="33" t="s">
        <v>413</v>
      </c>
      <c r="E144" s="30" t="s">
        <v>414</v>
      </c>
      <c r="F144" s="33" t="s">
        <v>294</v>
      </c>
      <c r="G144" s="30" t="s">
        <v>415</v>
      </c>
      <c r="H144" s="30">
        <v>1.0</v>
      </c>
      <c r="I144" s="33">
        <v>0.0</v>
      </c>
      <c r="J144" s="30">
        <v>0.0</v>
      </c>
      <c r="K144" s="30">
        <v>1.0</v>
      </c>
      <c r="L144" s="30">
        <v>0.0</v>
      </c>
      <c r="M144" s="30">
        <f t="shared" si="3"/>
        <v>1</v>
      </c>
      <c r="N144" s="30" t="s">
        <v>88</v>
      </c>
      <c r="O144" s="30" t="str">
        <f t="shared" si="4"/>
        <v>เพียงพอ</v>
      </c>
      <c r="P144" s="30" t="s">
        <v>290</v>
      </c>
    </row>
    <row r="145" ht="47.25" customHeight="1">
      <c r="A145" s="30" t="str">
        <f t="shared" si="1"/>
        <v/>
      </c>
      <c r="B145" s="30" t="s">
        <v>159</v>
      </c>
      <c r="C145" s="32" t="str">
        <f t="shared" si="2"/>
        <v/>
      </c>
      <c r="D145" s="33" t="s">
        <v>416</v>
      </c>
      <c r="E145" s="30" t="s">
        <v>322</v>
      </c>
      <c r="F145" s="33" t="s">
        <v>294</v>
      </c>
      <c r="G145" s="30" t="s">
        <v>407</v>
      </c>
      <c r="H145" s="30">
        <v>3.0</v>
      </c>
      <c r="I145" s="33">
        <v>0.0</v>
      </c>
      <c r="J145" s="30">
        <v>0.0</v>
      </c>
      <c r="K145" s="30">
        <v>3.0</v>
      </c>
      <c r="L145" s="30">
        <v>0.0</v>
      </c>
      <c r="M145" s="30">
        <f t="shared" si="3"/>
        <v>3</v>
      </c>
      <c r="N145" s="30" t="s">
        <v>88</v>
      </c>
      <c r="O145" s="30" t="str">
        <f t="shared" si="4"/>
        <v>เพียงพอ</v>
      </c>
      <c r="P145" s="30" t="s">
        <v>290</v>
      </c>
    </row>
    <row r="146" ht="47.25" customHeight="1">
      <c r="A146" s="30" t="str">
        <f t="shared" si="1"/>
        <v/>
      </c>
      <c r="B146" s="30" t="s">
        <v>159</v>
      </c>
      <c r="C146" s="32" t="str">
        <f t="shared" si="2"/>
        <v/>
      </c>
      <c r="D146" s="33" t="s">
        <v>417</v>
      </c>
      <c r="E146" s="30" t="s">
        <v>347</v>
      </c>
      <c r="F146" s="33" t="s">
        <v>294</v>
      </c>
      <c r="G146" s="30" t="s">
        <v>418</v>
      </c>
      <c r="H146" s="30">
        <v>2.0</v>
      </c>
      <c r="I146" s="33">
        <v>0.0</v>
      </c>
      <c r="J146" s="30">
        <v>0.0</v>
      </c>
      <c r="K146" s="30">
        <v>2.0</v>
      </c>
      <c r="L146" s="30">
        <v>0.0</v>
      </c>
      <c r="M146" s="30">
        <f t="shared" si="3"/>
        <v>2</v>
      </c>
      <c r="N146" s="30" t="s">
        <v>88</v>
      </c>
      <c r="O146" s="30" t="str">
        <f t="shared" si="4"/>
        <v>เพียงพอ</v>
      </c>
      <c r="P146" s="30" t="s">
        <v>290</v>
      </c>
    </row>
    <row r="147" ht="47.25" customHeight="1">
      <c r="A147" s="30" t="str">
        <f t="shared" si="1"/>
        <v/>
      </c>
      <c r="B147" s="30" t="s">
        <v>159</v>
      </c>
      <c r="C147" s="32" t="str">
        <f t="shared" si="2"/>
        <v/>
      </c>
      <c r="D147" s="33" t="s">
        <v>419</v>
      </c>
      <c r="E147" s="30" t="s">
        <v>420</v>
      </c>
      <c r="F147" s="33" t="s">
        <v>294</v>
      </c>
      <c r="G147" s="30" t="s">
        <v>418</v>
      </c>
      <c r="H147" s="30">
        <v>1.0</v>
      </c>
      <c r="I147" s="33">
        <v>0.0</v>
      </c>
      <c r="J147" s="30">
        <v>0.0</v>
      </c>
      <c r="K147" s="30">
        <v>1.0</v>
      </c>
      <c r="L147" s="30">
        <v>0.0</v>
      </c>
      <c r="M147" s="30">
        <f t="shared" si="3"/>
        <v>1</v>
      </c>
      <c r="N147" s="30" t="s">
        <v>88</v>
      </c>
      <c r="O147" s="30" t="str">
        <f t="shared" si="4"/>
        <v>เพียงพอ</v>
      </c>
      <c r="P147" s="30" t="s">
        <v>290</v>
      </c>
    </row>
    <row r="148" ht="47.25" customHeight="1">
      <c r="A148" s="30" t="str">
        <f t="shared" si="1"/>
        <v/>
      </c>
      <c r="B148" s="30" t="s">
        <v>159</v>
      </c>
      <c r="C148" s="32" t="str">
        <f t="shared" si="2"/>
        <v/>
      </c>
      <c r="D148" s="33" t="s">
        <v>421</v>
      </c>
      <c r="E148" s="30" t="s">
        <v>422</v>
      </c>
      <c r="F148" s="33" t="s">
        <v>294</v>
      </c>
      <c r="G148" s="30" t="s">
        <v>423</v>
      </c>
      <c r="H148" s="30">
        <v>1.0</v>
      </c>
      <c r="I148" s="33">
        <v>0.0</v>
      </c>
      <c r="J148" s="30">
        <v>0.0</v>
      </c>
      <c r="K148" s="30">
        <v>1.0</v>
      </c>
      <c r="L148" s="30">
        <v>0.0</v>
      </c>
      <c r="M148" s="30">
        <f t="shared" si="3"/>
        <v>1</v>
      </c>
      <c r="N148" s="30" t="s">
        <v>88</v>
      </c>
      <c r="O148" s="30" t="str">
        <f t="shared" si="4"/>
        <v>เพียงพอ</v>
      </c>
      <c r="P148" s="30" t="s">
        <v>290</v>
      </c>
    </row>
    <row r="149" ht="47.25" customHeight="1">
      <c r="A149" s="30" t="str">
        <f t="shared" si="1"/>
        <v/>
      </c>
      <c r="B149" s="30" t="s">
        <v>159</v>
      </c>
      <c r="C149" s="32" t="str">
        <f t="shared" si="2"/>
        <v/>
      </c>
      <c r="D149" s="33" t="s">
        <v>424</v>
      </c>
      <c r="E149" s="30" t="s">
        <v>314</v>
      </c>
      <c r="F149" s="30" t="s">
        <v>300</v>
      </c>
      <c r="G149" s="30" t="s">
        <v>423</v>
      </c>
      <c r="H149" s="30">
        <v>1.0</v>
      </c>
      <c r="I149" s="33">
        <v>0.0</v>
      </c>
      <c r="J149" s="30">
        <v>0.0</v>
      </c>
      <c r="K149" s="30">
        <v>1.0</v>
      </c>
      <c r="L149" s="30">
        <v>0.0</v>
      </c>
      <c r="M149" s="30">
        <f t="shared" si="3"/>
        <v>1</v>
      </c>
      <c r="N149" s="30" t="s">
        <v>88</v>
      </c>
      <c r="O149" s="30" t="str">
        <f t="shared" si="4"/>
        <v>เพียงพอ</v>
      </c>
      <c r="P149" s="30" t="s">
        <v>290</v>
      </c>
    </row>
    <row r="150" ht="47.25" customHeight="1">
      <c r="A150" s="30" t="str">
        <f t="shared" si="1"/>
        <v/>
      </c>
      <c r="B150" s="30" t="s">
        <v>159</v>
      </c>
      <c r="C150" s="32" t="str">
        <f t="shared" si="2"/>
        <v/>
      </c>
      <c r="D150" s="33" t="s">
        <v>425</v>
      </c>
      <c r="E150" s="30" t="s">
        <v>426</v>
      </c>
      <c r="F150" s="33" t="s">
        <v>294</v>
      </c>
      <c r="G150" s="30" t="s">
        <v>423</v>
      </c>
      <c r="H150" s="30">
        <v>1.0</v>
      </c>
      <c r="I150" s="33">
        <v>0.0</v>
      </c>
      <c r="J150" s="30">
        <v>0.0</v>
      </c>
      <c r="K150" s="30">
        <v>1.0</v>
      </c>
      <c r="L150" s="30">
        <v>0.0</v>
      </c>
      <c r="M150" s="30">
        <f t="shared" si="3"/>
        <v>1</v>
      </c>
      <c r="N150" s="30" t="s">
        <v>88</v>
      </c>
      <c r="O150" s="30" t="str">
        <f t="shared" si="4"/>
        <v>เพียงพอ</v>
      </c>
      <c r="P150" s="30" t="s">
        <v>290</v>
      </c>
    </row>
    <row r="151" ht="47.25" customHeight="1">
      <c r="A151" s="30" t="str">
        <f t="shared" si="1"/>
        <v/>
      </c>
      <c r="B151" s="30" t="s">
        <v>159</v>
      </c>
      <c r="C151" s="32" t="str">
        <f t="shared" si="2"/>
        <v/>
      </c>
      <c r="D151" s="33" t="s">
        <v>427</v>
      </c>
      <c r="E151" s="30" t="s">
        <v>428</v>
      </c>
      <c r="F151" s="30" t="s">
        <v>300</v>
      </c>
      <c r="G151" s="30" t="s">
        <v>429</v>
      </c>
      <c r="H151" s="30">
        <v>1.0</v>
      </c>
      <c r="I151" s="33">
        <v>0.0</v>
      </c>
      <c r="J151" s="30">
        <v>0.0</v>
      </c>
      <c r="K151" s="30">
        <v>1.0</v>
      </c>
      <c r="L151" s="30">
        <v>0.0</v>
      </c>
      <c r="M151" s="30">
        <f t="shared" si="3"/>
        <v>1</v>
      </c>
      <c r="N151" s="30" t="s">
        <v>88</v>
      </c>
      <c r="O151" s="30" t="str">
        <f t="shared" si="4"/>
        <v>เพียงพอ</v>
      </c>
      <c r="P151" s="30" t="s">
        <v>290</v>
      </c>
    </row>
    <row r="152" ht="47.25" customHeight="1">
      <c r="A152" s="30" t="str">
        <f t="shared" si="1"/>
        <v/>
      </c>
      <c r="B152" s="30" t="s">
        <v>159</v>
      </c>
      <c r="C152" s="32" t="str">
        <f t="shared" si="2"/>
        <v/>
      </c>
      <c r="D152" s="33" t="s">
        <v>430</v>
      </c>
      <c r="E152" s="30" t="s">
        <v>314</v>
      </c>
      <c r="F152" s="33" t="s">
        <v>294</v>
      </c>
      <c r="G152" s="30" t="s">
        <v>431</v>
      </c>
      <c r="H152" s="30">
        <v>1.0</v>
      </c>
      <c r="I152" s="33">
        <v>0.0</v>
      </c>
      <c r="J152" s="30">
        <v>0.0</v>
      </c>
      <c r="K152" s="30">
        <v>1.0</v>
      </c>
      <c r="L152" s="30">
        <v>0.0</v>
      </c>
      <c r="M152" s="30">
        <f t="shared" si="3"/>
        <v>1</v>
      </c>
      <c r="N152" s="30" t="s">
        <v>88</v>
      </c>
      <c r="O152" s="30" t="str">
        <f t="shared" si="4"/>
        <v>เพียงพอ</v>
      </c>
      <c r="P152" s="30" t="s">
        <v>290</v>
      </c>
    </row>
    <row r="153" ht="47.25" customHeight="1">
      <c r="A153" s="30" t="str">
        <f t="shared" si="1"/>
        <v/>
      </c>
      <c r="B153" s="30" t="s">
        <v>159</v>
      </c>
      <c r="C153" s="32" t="str">
        <f t="shared" si="2"/>
        <v/>
      </c>
      <c r="D153" s="33" t="s">
        <v>432</v>
      </c>
      <c r="E153" s="30" t="s">
        <v>396</v>
      </c>
      <c r="F153" s="33" t="s">
        <v>294</v>
      </c>
      <c r="G153" s="30" t="s">
        <v>418</v>
      </c>
      <c r="H153" s="30">
        <v>1.0</v>
      </c>
      <c r="I153" s="33">
        <v>0.0</v>
      </c>
      <c r="J153" s="30">
        <v>0.0</v>
      </c>
      <c r="K153" s="30">
        <v>1.0</v>
      </c>
      <c r="L153" s="30">
        <v>0.0</v>
      </c>
      <c r="M153" s="30">
        <f t="shared" si="3"/>
        <v>1</v>
      </c>
      <c r="N153" s="30" t="s">
        <v>88</v>
      </c>
      <c r="O153" s="30" t="str">
        <f t="shared" si="4"/>
        <v>เพียงพอ</v>
      </c>
      <c r="P153" s="30" t="s">
        <v>290</v>
      </c>
    </row>
    <row r="154" ht="47.25" customHeight="1">
      <c r="A154" s="30" t="str">
        <f t="shared" si="1"/>
        <v/>
      </c>
      <c r="B154" s="30" t="s">
        <v>159</v>
      </c>
      <c r="C154" s="32" t="str">
        <f t="shared" si="2"/>
        <v/>
      </c>
      <c r="D154" s="33" t="s">
        <v>435</v>
      </c>
      <c r="E154" s="30" t="s">
        <v>436</v>
      </c>
      <c r="F154" s="33" t="s">
        <v>294</v>
      </c>
      <c r="G154" s="30" t="s">
        <v>418</v>
      </c>
      <c r="H154" s="30">
        <v>1.0</v>
      </c>
      <c r="I154" s="33">
        <v>0.0</v>
      </c>
      <c r="J154" s="30">
        <v>0.0</v>
      </c>
      <c r="K154" s="30">
        <v>1.0</v>
      </c>
      <c r="L154" s="30">
        <v>0.0</v>
      </c>
      <c r="M154" s="30">
        <f t="shared" si="3"/>
        <v>1</v>
      </c>
      <c r="N154" s="30" t="s">
        <v>88</v>
      </c>
      <c r="O154" s="30" t="str">
        <f t="shared" si="4"/>
        <v>เพียงพอ</v>
      </c>
      <c r="P154" s="30" t="s">
        <v>290</v>
      </c>
    </row>
    <row r="155" ht="47.25" customHeight="1">
      <c r="A155" s="30" t="str">
        <f t="shared" si="1"/>
        <v/>
      </c>
      <c r="B155" s="30" t="s">
        <v>159</v>
      </c>
      <c r="C155" s="32" t="str">
        <f t="shared" si="2"/>
        <v/>
      </c>
      <c r="D155" s="33" t="s">
        <v>437</v>
      </c>
      <c r="E155" s="30" t="s">
        <v>438</v>
      </c>
      <c r="F155" s="33" t="s">
        <v>294</v>
      </c>
      <c r="G155" s="30" t="s">
        <v>423</v>
      </c>
      <c r="H155" s="30">
        <v>1.0</v>
      </c>
      <c r="I155" s="33">
        <v>0.0</v>
      </c>
      <c r="J155" s="30">
        <v>0.0</v>
      </c>
      <c r="K155" s="30">
        <v>1.0</v>
      </c>
      <c r="L155" s="30">
        <v>0.0</v>
      </c>
      <c r="M155" s="30">
        <f t="shared" si="3"/>
        <v>1</v>
      </c>
      <c r="N155" s="30" t="s">
        <v>88</v>
      </c>
      <c r="O155" s="30" t="str">
        <f t="shared" si="4"/>
        <v>เพียงพอ</v>
      </c>
      <c r="P155" s="30" t="s">
        <v>290</v>
      </c>
    </row>
    <row r="156" ht="47.25" customHeight="1">
      <c r="A156" s="30" t="str">
        <f t="shared" si="1"/>
        <v/>
      </c>
      <c r="B156" s="30" t="s">
        <v>159</v>
      </c>
      <c r="C156" s="32" t="str">
        <f t="shared" si="2"/>
        <v/>
      </c>
      <c r="D156" s="33" t="s">
        <v>439</v>
      </c>
      <c r="E156" s="33" t="s">
        <v>440</v>
      </c>
      <c r="F156" s="33" t="s">
        <v>294</v>
      </c>
      <c r="G156" s="33" t="s">
        <v>441</v>
      </c>
      <c r="H156" s="30">
        <v>1.0</v>
      </c>
      <c r="I156" s="33">
        <v>0.0</v>
      </c>
      <c r="J156" s="34">
        <v>0.0</v>
      </c>
      <c r="K156" s="34">
        <v>1.0</v>
      </c>
      <c r="L156" s="34">
        <v>0.0</v>
      </c>
      <c r="M156" s="30">
        <f t="shared" si="3"/>
        <v>1</v>
      </c>
      <c r="N156" s="33" t="s">
        <v>88</v>
      </c>
      <c r="O156" s="30" t="str">
        <f t="shared" si="4"/>
        <v>เพียงพอ</v>
      </c>
      <c r="P156" s="33" t="s">
        <v>290</v>
      </c>
    </row>
    <row r="157" ht="47.25" customHeight="1">
      <c r="A157" s="30" t="str">
        <f t="shared" si="1"/>
        <v/>
      </c>
      <c r="B157" s="30" t="s">
        <v>159</v>
      </c>
      <c r="C157" s="32" t="str">
        <f t="shared" si="2"/>
        <v/>
      </c>
      <c r="D157" s="33" t="s">
        <v>442</v>
      </c>
      <c r="E157" s="30" t="s">
        <v>443</v>
      </c>
      <c r="F157" s="30" t="s">
        <v>300</v>
      </c>
      <c r="G157" s="30" t="s">
        <v>441</v>
      </c>
      <c r="H157" s="30">
        <v>1.0</v>
      </c>
      <c r="I157" s="33">
        <v>0.0</v>
      </c>
      <c r="J157" s="30">
        <v>0.0</v>
      </c>
      <c r="K157" s="30">
        <v>1.0</v>
      </c>
      <c r="L157" s="30">
        <v>0.0</v>
      </c>
      <c r="M157" s="30">
        <f t="shared" si="3"/>
        <v>1</v>
      </c>
      <c r="N157" s="30" t="s">
        <v>88</v>
      </c>
      <c r="O157" s="30" t="str">
        <f t="shared" si="4"/>
        <v>เพียงพอ</v>
      </c>
      <c r="P157" s="30" t="s">
        <v>290</v>
      </c>
    </row>
    <row r="158" ht="47.25" customHeight="1">
      <c r="A158" s="30" t="str">
        <f t="shared" si="1"/>
        <v/>
      </c>
      <c r="B158" s="30" t="s">
        <v>159</v>
      </c>
      <c r="C158" s="32" t="str">
        <f t="shared" si="2"/>
        <v/>
      </c>
      <c r="D158" s="33" t="s">
        <v>444</v>
      </c>
      <c r="E158" s="30" t="s">
        <v>445</v>
      </c>
      <c r="F158" s="30" t="s">
        <v>300</v>
      </c>
      <c r="G158" s="30" t="s">
        <v>418</v>
      </c>
      <c r="H158" s="30">
        <v>1.0</v>
      </c>
      <c r="I158" s="33">
        <v>0.0</v>
      </c>
      <c r="J158" s="30">
        <v>0.0</v>
      </c>
      <c r="K158" s="30">
        <v>1.0</v>
      </c>
      <c r="L158" s="30">
        <v>0.0</v>
      </c>
      <c r="M158" s="30">
        <f t="shared" si="3"/>
        <v>1</v>
      </c>
      <c r="N158" s="30" t="s">
        <v>88</v>
      </c>
      <c r="O158" s="30" t="str">
        <f t="shared" si="4"/>
        <v>เพียงพอ</v>
      </c>
      <c r="P158" s="30" t="s">
        <v>290</v>
      </c>
    </row>
    <row r="159" ht="47.25" customHeight="1">
      <c r="A159" s="30" t="str">
        <f t="shared" si="1"/>
        <v/>
      </c>
      <c r="B159" s="30" t="s">
        <v>159</v>
      </c>
      <c r="C159" s="32" t="str">
        <f t="shared" si="2"/>
        <v/>
      </c>
      <c r="D159" s="33" t="s">
        <v>446</v>
      </c>
      <c r="E159" s="30" t="s">
        <v>447</v>
      </c>
      <c r="F159" s="33" t="s">
        <v>294</v>
      </c>
      <c r="G159" s="30" t="s">
        <v>407</v>
      </c>
      <c r="H159" s="30">
        <v>1.0</v>
      </c>
      <c r="I159" s="33">
        <v>0.0</v>
      </c>
      <c r="J159" s="30">
        <v>0.0</v>
      </c>
      <c r="K159" s="30">
        <v>1.0</v>
      </c>
      <c r="L159" s="30">
        <v>0.0</v>
      </c>
      <c r="M159" s="30">
        <f t="shared" si="3"/>
        <v>1</v>
      </c>
      <c r="N159" s="30" t="s">
        <v>88</v>
      </c>
      <c r="O159" s="30" t="str">
        <f t="shared" si="4"/>
        <v>เพียงพอ</v>
      </c>
      <c r="P159" s="30" t="s">
        <v>290</v>
      </c>
    </row>
    <row r="160" ht="47.25" customHeight="1">
      <c r="A160" s="30" t="str">
        <f t="shared" si="1"/>
        <v/>
      </c>
      <c r="B160" s="30" t="s">
        <v>159</v>
      </c>
      <c r="C160" s="32" t="str">
        <f t="shared" si="2"/>
        <v/>
      </c>
      <c r="D160" s="33" t="s">
        <v>448</v>
      </c>
      <c r="E160" s="30" t="s">
        <v>449</v>
      </c>
      <c r="F160" s="33" t="s">
        <v>294</v>
      </c>
      <c r="G160" s="30" t="s">
        <v>450</v>
      </c>
      <c r="H160" s="30">
        <v>1.0</v>
      </c>
      <c r="I160" s="33">
        <v>0.0</v>
      </c>
      <c r="J160" s="30">
        <v>0.0</v>
      </c>
      <c r="K160" s="30">
        <v>1.0</v>
      </c>
      <c r="L160" s="30">
        <v>0.0</v>
      </c>
      <c r="M160" s="30">
        <f t="shared" si="3"/>
        <v>1</v>
      </c>
      <c r="N160" s="30" t="s">
        <v>88</v>
      </c>
      <c r="O160" s="30" t="str">
        <f t="shared" si="4"/>
        <v>เพียงพอ</v>
      </c>
      <c r="P160" s="30" t="s">
        <v>290</v>
      </c>
    </row>
    <row r="161" ht="47.25" customHeight="1">
      <c r="A161" s="30" t="str">
        <f t="shared" si="1"/>
        <v/>
      </c>
      <c r="B161" s="30" t="s">
        <v>159</v>
      </c>
      <c r="C161" s="32" t="str">
        <f t="shared" si="2"/>
        <v/>
      </c>
      <c r="D161" s="33" t="s">
        <v>451</v>
      </c>
      <c r="E161" s="30" t="s">
        <v>452</v>
      </c>
      <c r="F161" s="33" t="s">
        <v>294</v>
      </c>
      <c r="G161" s="30" t="s">
        <v>450</v>
      </c>
      <c r="H161" s="30">
        <v>1.0</v>
      </c>
      <c r="I161" s="33">
        <v>0.0</v>
      </c>
      <c r="J161" s="30">
        <v>0.0</v>
      </c>
      <c r="K161" s="30">
        <v>1.0</v>
      </c>
      <c r="L161" s="30">
        <v>0.0</v>
      </c>
      <c r="M161" s="30">
        <f t="shared" si="3"/>
        <v>1</v>
      </c>
      <c r="N161" s="30" t="s">
        <v>88</v>
      </c>
      <c r="O161" s="30" t="str">
        <f t="shared" si="4"/>
        <v>เพียงพอ</v>
      </c>
      <c r="P161" s="30" t="s">
        <v>290</v>
      </c>
    </row>
    <row r="162" ht="47.25" customHeight="1">
      <c r="A162" s="30" t="str">
        <f t="shared" si="1"/>
        <v/>
      </c>
      <c r="B162" s="30" t="s">
        <v>159</v>
      </c>
      <c r="C162" s="32" t="str">
        <f t="shared" si="2"/>
        <v/>
      </c>
      <c r="D162" s="33" t="s">
        <v>453</v>
      </c>
      <c r="E162" s="30" t="s">
        <v>414</v>
      </c>
      <c r="F162" s="33" t="s">
        <v>294</v>
      </c>
      <c r="G162" s="30" t="s">
        <v>454</v>
      </c>
      <c r="H162" s="30">
        <v>1.0</v>
      </c>
      <c r="I162" s="33">
        <v>0.0</v>
      </c>
      <c r="J162" s="30">
        <v>0.0</v>
      </c>
      <c r="K162" s="30">
        <v>1.0</v>
      </c>
      <c r="L162" s="30">
        <v>0.0</v>
      </c>
      <c r="M162" s="30">
        <f t="shared" si="3"/>
        <v>1</v>
      </c>
      <c r="N162" s="30" t="s">
        <v>88</v>
      </c>
      <c r="O162" s="30" t="str">
        <f t="shared" si="4"/>
        <v>เพียงพอ</v>
      </c>
      <c r="P162" s="30" t="s">
        <v>290</v>
      </c>
    </row>
    <row r="163" ht="47.25" customHeight="1">
      <c r="A163" s="30" t="str">
        <f t="shared" si="1"/>
        <v/>
      </c>
      <c r="B163" s="35">
        <v>46315.40163194444</v>
      </c>
      <c r="C163" s="32" t="str">
        <f t="shared" si="2"/>
        <v/>
      </c>
      <c r="D163" s="33" t="s">
        <v>455</v>
      </c>
      <c r="E163" s="33" t="s">
        <v>456</v>
      </c>
      <c r="F163" s="33" t="s">
        <v>294</v>
      </c>
      <c r="G163" s="33" t="s">
        <v>457</v>
      </c>
      <c r="H163" s="34">
        <v>1.0</v>
      </c>
      <c r="I163" s="33">
        <v>0.0</v>
      </c>
      <c r="J163" s="34">
        <v>0.0</v>
      </c>
      <c r="K163" s="34">
        <v>1.0</v>
      </c>
      <c r="L163" s="34">
        <v>0.0</v>
      </c>
      <c r="M163" s="30">
        <f t="shared" si="3"/>
        <v>1</v>
      </c>
      <c r="N163" s="33" t="s">
        <v>88</v>
      </c>
      <c r="O163" s="30" t="str">
        <f t="shared" si="4"/>
        <v>เพียงพอ</v>
      </c>
      <c r="P163" s="33" t="s">
        <v>290</v>
      </c>
    </row>
    <row r="164" ht="47.25" customHeight="1">
      <c r="A164" s="30" t="str">
        <f t="shared" si="1"/>
        <v/>
      </c>
      <c r="B164" s="30" t="s">
        <v>159</v>
      </c>
      <c r="C164" s="32" t="str">
        <f t="shared" si="2"/>
        <v/>
      </c>
      <c r="D164" s="33" t="s">
        <v>458</v>
      </c>
      <c r="E164" s="30" t="s">
        <v>331</v>
      </c>
      <c r="F164" s="33" t="s">
        <v>294</v>
      </c>
      <c r="G164" s="30" t="s">
        <v>459</v>
      </c>
      <c r="H164" s="30">
        <v>1.0</v>
      </c>
      <c r="I164" s="33">
        <v>0.0</v>
      </c>
      <c r="J164" s="30">
        <v>0.0</v>
      </c>
      <c r="K164" s="30">
        <v>1.0</v>
      </c>
      <c r="L164" s="30">
        <v>0.0</v>
      </c>
      <c r="M164" s="30">
        <f t="shared" si="3"/>
        <v>1</v>
      </c>
      <c r="N164" s="30" t="s">
        <v>88</v>
      </c>
      <c r="O164" s="30" t="str">
        <f t="shared" si="4"/>
        <v>เพียงพอ</v>
      </c>
      <c r="P164" s="30" t="s">
        <v>290</v>
      </c>
    </row>
    <row r="165" ht="47.25" customHeight="1">
      <c r="A165" s="30" t="str">
        <f t="shared" si="1"/>
        <v/>
      </c>
      <c r="B165" s="30" t="s">
        <v>159</v>
      </c>
      <c r="C165" s="32" t="str">
        <f t="shared" si="2"/>
        <v/>
      </c>
      <c r="D165" s="33" t="s">
        <v>460</v>
      </c>
      <c r="E165" s="30" t="s">
        <v>461</v>
      </c>
      <c r="F165" s="33" t="s">
        <v>294</v>
      </c>
      <c r="G165" s="30" t="s">
        <v>459</v>
      </c>
      <c r="H165" s="30">
        <v>1.0</v>
      </c>
      <c r="I165" s="33">
        <v>0.0</v>
      </c>
      <c r="J165" s="30">
        <v>0.0</v>
      </c>
      <c r="K165" s="30">
        <v>1.0</v>
      </c>
      <c r="L165" s="30">
        <v>0.0</v>
      </c>
      <c r="M165" s="30">
        <f t="shared" si="3"/>
        <v>1</v>
      </c>
      <c r="N165" s="30" t="s">
        <v>88</v>
      </c>
      <c r="O165" s="30" t="str">
        <f t="shared" si="4"/>
        <v>เพียงพอ</v>
      </c>
      <c r="P165" s="30" t="s">
        <v>290</v>
      </c>
    </row>
    <row r="166" ht="47.25" customHeight="1">
      <c r="A166" s="30" t="str">
        <f t="shared" si="1"/>
        <v/>
      </c>
      <c r="B166" s="30" t="s">
        <v>159</v>
      </c>
      <c r="C166" s="32" t="str">
        <f t="shared" si="2"/>
        <v/>
      </c>
      <c r="D166" s="33" t="s">
        <v>462</v>
      </c>
      <c r="E166" s="30" t="s">
        <v>461</v>
      </c>
      <c r="F166" s="33" t="s">
        <v>294</v>
      </c>
      <c r="G166" s="30" t="s">
        <v>463</v>
      </c>
      <c r="H166" s="30">
        <v>1.0</v>
      </c>
      <c r="I166" s="33">
        <v>0.0</v>
      </c>
      <c r="J166" s="30">
        <v>0.0</v>
      </c>
      <c r="K166" s="30">
        <v>1.0</v>
      </c>
      <c r="L166" s="30">
        <v>0.0</v>
      </c>
      <c r="M166" s="30">
        <f t="shared" si="3"/>
        <v>1</v>
      </c>
      <c r="N166" s="30" t="s">
        <v>88</v>
      </c>
      <c r="O166" s="30" t="str">
        <f t="shared" si="4"/>
        <v>เพียงพอ</v>
      </c>
      <c r="P166" s="30" t="s">
        <v>290</v>
      </c>
    </row>
    <row r="167" ht="47.25" customHeight="1">
      <c r="A167" s="30" t="str">
        <f t="shared" si="1"/>
        <v/>
      </c>
      <c r="B167" s="30" t="s">
        <v>159</v>
      </c>
      <c r="C167" s="32" t="str">
        <f t="shared" si="2"/>
        <v/>
      </c>
      <c r="D167" s="33" t="s">
        <v>464</v>
      </c>
      <c r="E167" s="30" t="s">
        <v>465</v>
      </c>
      <c r="F167" s="33" t="s">
        <v>294</v>
      </c>
      <c r="G167" s="30" t="s">
        <v>459</v>
      </c>
      <c r="H167" s="30">
        <v>3.0</v>
      </c>
      <c r="I167" s="33">
        <v>0.0</v>
      </c>
      <c r="J167" s="30">
        <v>0.0</v>
      </c>
      <c r="K167" s="30">
        <v>3.0</v>
      </c>
      <c r="L167" s="30">
        <v>0.0</v>
      </c>
      <c r="M167" s="30">
        <f t="shared" si="3"/>
        <v>3</v>
      </c>
      <c r="N167" s="30" t="s">
        <v>88</v>
      </c>
      <c r="O167" s="30" t="str">
        <f t="shared" si="4"/>
        <v>เพียงพอ</v>
      </c>
      <c r="P167" s="30" t="s">
        <v>290</v>
      </c>
    </row>
    <row r="168" ht="47.25" customHeight="1">
      <c r="A168" s="30" t="str">
        <f t="shared" si="1"/>
        <v/>
      </c>
      <c r="B168" s="30" t="s">
        <v>159</v>
      </c>
      <c r="C168" s="32" t="str">
        <f t="shared" si="2"/>
        <v/>
      </c>
      <c r="D168" s="33" t="s">
        <v>466</v>
      </c>
      <c r="E168" s="30" t="s">
        <v>305</v>
      </c>
      <c r="F168" s="33" t="s">
        <v>294</v>
      </c>
      <c r="G168" s="30" t="s">
        <v>459</v>
      </c>
      <c r="H168" s="30">
        <v>1.0</v>
      </c>
      <c r="I168" s="33">
        <v>0.0</v>
      </c>
      <c r="J168" s="30">
        <v>0.0</v>
      </c>
      <c r="K168" s="30">
        <v>1.0</v>
      </c>
      <c r="L168" s="30">
        <v>0.0</v>
      </c>
      <c r="M168" s="30">
        <f t="shared" si="3"/>
        <v>1</v>
      </c>
      <c r="N168" s="30" t="s">
        <v>88</v>
      </c>
      <c r="O168" s="30" t="str">
        <f t="shared" si="4"/>
        <v>เพียงพอ</v>
      </c>
      <c r="P168" s="30" t="s">
        <v>290</v>
      </c>
    </row>
    <row r="169" ht="47.25" customHeight="1">
      <c r="A169" s="30" t="str">
        <f t="shared" si="1"/>
        <v/>
      </c>
      <c r="B169" s="30" t="s">
        <v>159</v>
      </c>
      <c r="C169" s="32" t="str">
        <f t="shared" si="2"/>
        <v/>
      </c>
      <c r="D169" s="33" t="s">
        <v>467</v>
      </c>
      <c r="E169" s="30" t="s">
        <v>468</v>
      </c>
      <c r="F169" s="33" t="s">
        <v>294</v>
      </c>
      <c r="G169" s="30" t="s">
        <v>469</v>
      </c>
      <c r="H169" s="30">
        <v>1.0</v>
      </c>
      <c r="I169" s="33">
        <v>0.0</v>
      </c>
      <c r="J169" s="30">
        <v>0.0</v>
      </c>
      <c r="K169" s="30">
        <v>1.0</v>
      </c>
      <c r="L169" s="30">
        <v>0.0</v>
      </c>
      <c r="M169" s="30">
        <f t="shared" si="3"/>
        <v>1</v>
      </c>
      <c r="N169" s="30" t="s">
        <v>88</v>
      </c>
      <c r="O169" s="30" t="str">
        <f t="shared" si="4"/>
        <v>เพียงพอ</v>
      </c>
      <c r="P169" s="30" t="s">
        <v>290</v>
      </c>
    </row>
    <row r="170" ht="47.25" customHeight="1">
      <c r="A170" s="30" t="str">
        <f t="shared" si="1"/>
        <v/>
      </c>
      <c r="B170" s="30" t="s">
        <v>159</v>
      </c>
      <c r="C170" s="32" t="str">
        <f t="shared" si="2"/>
        <v/>
      </c>
      <c r="D170" s="33" t="s">
        <v>470</v>
      </c>
      <c r="E170" s="30" t="s">
        <v>355</v>
      </c>
      <c r="F170" s="33" t="s">
        <v>294</v>
      </c>
      <c r="G170" s="30" t="s">
        <v>471</v>
      </c>
      <c r="H170" s="30">
        <v>1.0</v>
      </c>
      <c r="I170" s="33">
        <v>0.0</v>
      </c>
      <c r="J170" s="30">
        <v>0.0</v>
      </c>
      <c r="K170" s="30">
        <v>1.0</v>
      </c>
      <c r="L170" s="30">
        <v>0.0</v>
      </c>
      <c r="M170" s="30">
        <f t="shared" si="3"/>
        <v>1</v>
      </c>
      <c r="N170" s="30" t="s">
        <v>88</v>
      </c>
      <c r="O170" s="30" t="str">
        <f t="shared" si="4"/>
        <v>เพียงพอ</v>
      </c>
      <c r="P170" s="30" t="s">
        <v>290</v>
      </c>
    </row>
    <row r="171" ht="47.25" customHeight="1">
      <c r="A171" s="30" t="str">
        <f t="shared" si="1"/>
        <v/>
      </c>
      <c r="B171" s="30" t="s">
        <v>159</v>
      </c>
      <c r="C171" s="32" t="str">
        <f t="shared" si="2"/>
        <v/>
      </c>
      <c r="D171" s="33" t="s">
        <v>472</v>
      </c>
      <c r="E171" s="30" t="s">
        <v>473</v>
      </c>
      <c r="F171" s="33" t="s">
        <v>294</v>
      </c>
      <c r="G171" s="30" t="s">
        <v>459</v>
      </c>
      <c r="H171" s="30">
        <v>1.0</v>
      </c>
      <c r="I171" s="33">
        <v>0.0</v>
      </c>
      <c r="J171" s="30">
        <v>0.0</v>
      </c>
      <c r="K171" s="30">
        <v>1.0</v>
      </c>
      <c r="L171" s="30">
        <v>0.0</v>
      </c>
      <c r="M171" s="30">
        <f t="shared" si="3"/>
        <v>1</v>
      </c>
      <c r="N171" s="30" t="s">
        <v>88</v>
      </c>
      <c r="O171" s="30" t="str">
        <f t="shared" si="4"/>
        <v>เพียงพอ</v>
      </c>
      <c r="P171" s="30" t="s">
        <v>290</v>
      </c>
    </row>
    <row r="172" ht="47.25" customHeight="1">
      <c r="A172" s="30" t="str">
        <f t="shared" si="1"/>
        <v/>
      </c>
      <c r="B172" s="30" t="s">
        <v>159</v>
      </c>
      <c r="C172" s="32" t="str">
        <f t="shared" si="2"/>
        <v/>
      </c>
      <c r="D172" s="33" t="s">
        <v>474</v>
      </c>
      <c r="E172" s="30" t="s">
        <v>473</v>
      </c>
      <c r="F172" s="33" t="s">
        <v>294</v>
      </c>
      <c r="G172" s="30" t="s">
        <v>459</v>
      </c>
      <c r="H172" s="30">
        <v>1.0</v>
      </c>
      <c r="I172" s="33">
        <v>0.0</v>
      </c>
      <c r="J172" s="30">
        <v>0.0</v>
      </c>
      <c r="K172" s="30">
        <v>1.0</v>
      </c>
      <c r="L172" s="30">
        <v>0.0</v>
      </c>
      <c r="M172" s="30">
        <f t="shared" si="3"/>
        <v>1</v>
      </c>
      <c r="N172" s="30" t="s">
        <v>88</v>
      </c>
      <c r="O172" s="30" t="str">
        <f t="shared" si="4"/>
        <v>เพียงพอ</v>
      </c>
      <c r="P172" s="30" t="s">
        <v>290</v>
      </c>
    </row>
    <row r="173" ht="47.25" customHeight="1">
      <c r="A173" s="30" t="str">
        <f t="shared" si="1"/>
        <v/>
      </c>
      <c r="B173" s="30" t="s">
        <v>159</v>
      </c>
      <c r="C173" s="32" t="str">
        <f t="shared" si="2"/>
        <v/>
      </c>
      <c r="D173" s="33" t="s">
        <v>475</v>
      </c>
      <c r="E173" s="30" t="s">
        <v>476</v>
      </c>
      <c r="F173" s="33" t="s">
        <v>294</v>
      </c>
      <c r="G173" s="30" t="s">
        <v>477</v>
      </c>
      <c r="H173" s="30">
        <v>1.0</v>
      </c>
      <c r="I173" s="33">
        <v>0.0</v>
      </c>
      <c r="J173" s="30">
        <v>0.0</v>
      </c>
      <c r="K173" s="30">
        <v>1.0</v>
      </c>
      <c r="L173" s="30">
        <v>0.0</v>
      </c>
      <c r="M173" s="30">
        <f t="shared" si="3"/>
        <v>1</v>
      </c>
      <c r="N173" s="30" t="s">
        <v>88</v>
      </c>
      <c r="O173" s="30" t="str">
        <f t="shared" si="4"/>
        <v>เพียงพอ</v>
      </c>
      <c r="P173" s="30" t="s">
        <v>290</v>
      </c>
    </row>
    <row r="174" ht="47.25" customHeight="1">
      <c r="A174" s="30" t="str">
        <f t="shared" si="1"/>
        <v/>
      </c>
      <c r="B174" s="30" t="s">
        <v>159</v>
      </c>
      <c r="C174" s="32" t="str">
        <f t="shared" si="2"/>
        <v/>
      </c>
      <c r="D174" s="33" t="s">
        <v>478</v>
      </c>
      <c r="E174" s="30" t="s">
        <v>476</v>
      </c>
      <c r="F174" s="33" t="s">
        <v>294</v>
      </c>
      <c r="G174" s="30" t="s">
        <v>477</v>
      </c>
      <c r="H174" s="30">
        <v>1.0</v>
      </c>
      <c r="I174" s="33">
        <v>0.0</v>
      </c>
      <c r="J174" s="30">
        <v>0.0</v>
      </c>
      <c r="K174" s="30">
        <v>1.0</v>
      </c>
      <c r="L174" s="30">
        <v>0.0</v>
      </c>
      <c r="M174" s="30">
        <f t="shared" si="3"/>
        <v>1</v>
      </c>
      <c r="N174" s="30" t="s">
        <v>88</v>
      </c>
      <c r="O174" s="30" t="str">
        <f t="shared" si="4"/>
        <v>เพียงพอ</v>
      </c>
      <c r="P174" s="30" t="s">
        <v>290</v>
      </c>
    </row>
    <row r="175" ht="47.25" customHeight="1">
      <c r="A175" s="30" t="str">
        <f t="shared" si="1"/>
        <v/>
      </c>
      <c r="B175" s="30" t="s">
        <v>159</v>
      </c>
      <c r="C175" s="32" t="str">
        <f t="shared" si="2"/>
        <v/>
      </c>
      <c r="D175" s="33" t="s">
        <v>479</v>
      </c>
      <c r="E175" s="30" t="s">
        <v>361</v>
      </c>
      <c r="F175" s="33" t="s">
        <v>294</v>
      </c>
      <c r="G175" s="30" t="s">
        <v>480</v>
      </c>
      <c r="H175" s="30">
        <v>1.0</v>
      </c>
      <c r="I175" s="33">
        <v>0.0</v>
      </c>
      <c r="J175" s="30">
        <v>0.0</v>
      </c>
      <c r="K175" s="30">
        <v>1.0</v>
      </c>
      <c r="L175" s="30">
        <v>0.0</v>
      </c>
      <c r="M175" s="30">
        <f t="shared" si="3"/>
        <v>1</v>
      </c>
      <c r="N175" s="30" t="s">
        <v>88</v>
      </c>
      <c r="O175" s="30" t="str">
        <f t="shared" si="4"/>
        <v>เพียงพอ</v>
      </c>
      <c r="P175" s="30" t="s">
        <v>290</v>
      </c>
    </row>
    <row r="176" ht="47.25" customHeight="1">
      <c r="A176" s="30" t="str">
        <f t="shared" si="1"/>
        <v/>
      </c>
      <c r="B176" s="30" t="s">
        <v>159</v>
      </c>
      <c r="C176" s="32" t="str">
        <f t="shared" si="2"/>
        <v/>
      </c>
      <c r="D176" s="33" t="s">
        <v>481</v>
      </c>
      <c r="E176" s="30" t="s">
        <v>361</v>
      </c>
      <c r="F176" s="33" t="s">
        <v>294</v>
      </c>
      <c r="G176" s="30" t="s">
        <v>469</v>
      </c>
      <c r="H176" s="30">
        <v>1.0</v>
      </c>
      <c r="I176" s="33">
        <v>0.0</v>
      </c>
      <c r="J176" s="30">
        <v>0.0</v>
      </c>
      <c r="K176" s="30">
        <v>1.0</v>
      </c>
      <c r="L176" s="30">
        <v>0.0</v>
      </c>
      <c r="M176" s="30">
        <f t="shared" si="3"/>
        <v>1</v>
      </c>
      <c r="N176" s="30" t="s">
        <v>88</v>
      </c>
      <c r="O176" s="30" t="str">
        <f t="shared" si="4"/>
        <v>เพียงพอ</v>
      </c>
      <c r="P176" s="30" t="s">
        <v>290</v>
      </c>
    </row>
    <row r="177" ht="47.25" customHeight="1">
      <c r="A177" s="30" t="str">
        <f t="shared" si="1"/>
        <v/>
      </c>
      <c r="B177" s="35">
        <v>46315.42203703704</v>
      </c>
      <c r="C177" s="32" t="str">
        <f t="shared" si="2"/>
        <v/>
      </c>
      <c r="D177" s="33" t="s">
        <v>482</v>
      </c>
      <c r="E177" s="30" t="s">
        <v>483</v>
      </c>
      <c r="F177" s="30" t="s">
        <v>300</v>
      </c>
      <c r="G177" s="30" t="s">
        <v>457</v>
      </c>
      <c r="H177" s="30">
        <v>1.0</v>
      </c>
      <c r="I177" s="33">
        <v>0.0</v>
      </c>
      <c r="J177" s="30">
        <v>0.0</v>
      </c>
      <c r="K177" s="30">
        <v>1.0</v>
      </c>
      <c r="L177" s="30">
        <v>0.0</v>
      </c>
      <c r="M177" s="30">
        <f t="shared" si="3"/>
        <v>1</v>
      </c>
      <c r="N177" s="30" t="s">
        <v>88</v>
      </c>
      <c r="O177" s="30" t="str">
        <f t="shared" si="4"/>
        <v>เพียงพอ</v>
      </c>
      <c r="P177" s="30" t="s">
        <v>290</v>
      </c>
    </row>
    <row r="178" ht="47.25" customHeight="1">
      <c r="A178" s="30" t="str">
        <f t="shared" si="1"/>
        <v/>
      </c>
      <c r="B178" s="30" t="s">
        <v>159</v>
      </c>
      <c r="C178" s="32" t="str">
        <f t="shared" si="2"/>
        <v/>
      </c>
      <c r="D178" s="33" t="s">
        <v>484</v>
      </c>
      <c r="E178" s="30" t="s">
        <v>485</v>
      </c>
      <c r="F178" s="33" t="s">
        <v>294</v>
      </c>
      <c r="G178" s="30" t="s">
        <v>457</v>
      </c>
      <c r="H178" s="30">
        <v>1.0</v>
      </c>
      <c r="I178" s="33">
        <v>0.0</v>
      </c>
      <c r="J178" s="30">
        <v>0.0</v>
      </c>
      <c r="K178" s="30">
        <v>1.0</v>
      </c>
      <c r="L178" s="30">
        <v>0.0</v>
      </c>
      <c r="M178" s="30">
        <f t="shared" si="3"/>
        <v>1</v>
      </c>
      <c r="N178" s="30" t="s">
        <v>88</v>
      </c>
      <c r="O178" s="30" t="str">
        <f t="shared" si="4"/>
        <v>เพียงพอ</v>
      </c>
      <c r="P178" s="30" t="s">
        <v>290</v>
      </c>
    </row>
    <row r="179" ht="47.25" customHeight="1">
      <c r="A179" s="30" t="str">
        <f t="shared" si="1"/>
        <v/>
      </c>
      <c r="B179" s="30" t="s">
        <v>159</v>
      </c>
      <c r="C179" s="32" t="str">
        <f t="shared" si="2"/>
        <v/>
      </c>
      <c r="D179" s="33" t="s">
        <v>486</v>
      </c>
      <c r="E179" s="30" t="s">
        <v>487</v>
      </c>
      <c r="F179" s="33" t="s">
        <v>294</v>
      </c>
      <c r="G179" s="30" t="s">
        <v>457</v>
      </c>
      <c r="H179" s="30">
        <v>1.0</v>
      </c>
      <c r="I179" s="33">
        <v>0.0</v>
      </c>
      <c r="J179" s="30">
        <v>0.0</v>
      </c>
      <c r="K179" s="30">
        <v>1.0</v>
      </c>
      <c r="L179" s="30">
        <v>0.0</v>
      </c>
      <c r="M179" s="30">
        <f t="shared" si="3"/>
        <v>1</v>
      </c>
      <c r="N179" s="30" t="s">
        <v>88</v>
      </c>
      <c r="O179" s="30" t="str">
        <f t="shared" si="4"/>
        <v>เพียงพอ</v>
      </c>
      <c r="P179" s="30" t="s">
        <v>290</v>
      </c>
    </row>
    <row r="180" ht="47.25" customHeight="1">
      <c r="A180" s="30" t="str">
        <f t="shared" si="1"/>
        <v/>
      </c>
      <c r="B180" s="30" t="s">
        <v>159</v>
      </c>
      <c r="C180" s="32" t="str">
        <f t="shared" si="2"/>
        <v/>
      </c>
      <c r="D180" s="33" t="s">
        <v>488</v>
      </c>
      <c r="E180" s="30" t="s">
        <v>373</v>
      </c>
      <c r="F180" s="30" t="s">
        <v>300</v>
      </c>
      <c r="G180" s="30" t="s">
        <v>489</v>
      </c>
      <c r="H180" s="30">
        <v>1.0</v>
      </c>
      <c r="I180" s="33">
        <v>0.0</v>
      </c>
      <c r="J180" s="30">
        <v>0.0</v>
      </c>
      <c r="K180" s="30">
        <v>1.0</v>
      </c>
      <c r="L180" s="30">
        <v>0.0</v>
      </c>
      <c r="M180" s="30">
        <f t="shared" si="3"/>
        <v>1</v>
      </c>
      <c r="N180" s="30" t="s">
        <v>88</v>
      </c>
      <c r="O180" s="30" t="str">
        <f t="shared" si="4"/>
        <v>เพียงพอ</v>
      </c>
      <c r="P180" s="30" t="s">
        <v>290</v>
      </c>
    </row>
    <row r="181" ht="47.25" customHeight="1">
      <c r="A181" s="30" t="str">
        <f t="shared" si="1"/>
        <v/>
      </c>
      <c r="B181" s="35">
        <v>46315.39902777778</v>
      </c>
      <c r="C181" s="32" t="str">
        <f t="shared" si="2"/>
        <v/>
      </c>
      <c r="D181" s="33" t="s">
        <v>490</v>
      </c>
      <c r="E181" s="33" t="s">
        <v>491</v>
      </c>
      <c r="F181" s="33" t="s">
        <v>294</v>
      </c>
      <c r="G181" s="33" t="s">
        <v>457</v>
      </c>
      <c r="H181" s="34">
        <v>1.0</v>
      </c>
      <c r="I181" s="33">
        <v>0.0</v>
      </c>
      <c r="J181" s="34">
        <v>0.0</v>
      </c>
      <c r="K181" s="34">
        <v>1.0</v>
      </c>
      <c r="L181" s="34">
        <v>0.0</v>
      </c>
      <c r="M181" s="30">
        <f t="shared" si="3"/>
        <v>1</v>
      </c>
      <c r="N181" s="33" t="s">
        <v>88</v>
      </c>
      <c r="O181" s="30" t="str">
        <f t="shared" si="4"/>
        <v>เพียงพอ</v>
      </c>
      <c r="P181" s="33" t="s">
        <v>290</v>
      </c>
    </row>
    <row r="182" ht="47.25" customHeight="1">
      <c r="A182" s="30" t="str">
        <f t="shared" si="1"/>
        <v/>
      </c>
      <c r="B182" s="30" t="s">
        <v>159</v>
      </c>
      <c r="C182" s="32" t="str">
        <f t="shared" si="2"/>
        <v/>
      </c>
      <c r="D182" s="33" t="s">
        <v>492</v>
      </c>
      <c r="E182" s="30" t="s">
        <v>493</v>
      </c>
      <c r="F182" s="30" t="s">
        <v>300</v>
      </c>
      <c r="G182" s="30" t="s">
        <v>459</v>
      </c>
      <c r="H182" s="30">
        <v>1.0</v>
      </c>
      <c r="I182" s="33">
        <v>0.0</v>
      </c>
      <c r="J182" s="30">
        <v>0.0</v>
      </c>
      <c r="K182" s="30">
        <v>1.0</v>
      </c>
      <c r="L182" s="30">
        <v>0.0</v>
      </c>
      <c r="M182" s="30">
        <f t="shared" si="3"/>
        <v>1</v>
      </c>
      <c r="N182" s="30" t="s">
        <v>88</v>
      </c>
      <c r="O182" s="30" t="str">
        <f t="shared" si="4"/>
        <v>เพียงพอ</v>
      </c>
      <c r="P182" s="30" t="s">
        <v>290</v>
      </c>
    </row>
    <row r="183" ht="47.25" customHeight="1">
      <c r="A183" s="30" t="str">
        <f t="shared" si="1"/>
        <v/>
      </c>
      <c r="B183" s="30" t="s">
        <v>159</v>
      </c>
      <c r="C183" s="32" t="str">
        <f t="shared" si="2"/>
        <v/>
      </c>
      <c r="D183" s="33" t="s">
        <v>494</v>
      </c>
      <c r="E183" s="30" t="s">
        <v>495</v>
      </c>
      <c r="F183" s="33" t="s">
        <v>294</v>
      </c>
      <c r="G183" s="30" t="s">
        <v>459</v>
      </c>
      <c r="H183" s="30">
        <v>3.0</v>
      </c>
      <c r="I183" s="33">
        <v>0.0</v>
      </c>
      <c r="J183" s="30">
        <v>0.0</v>
      </c>
      <c r="K183" s="30">
        <v>3.0</v>
      </c>
      <c r="L183" s="30">
        <v>0.0</v>
      </c>
      <c r="M183" s="30">
        <f t="shared" si="3"/>
        <v>3</v>
      </c>
      <c r="N183" s="30" t="s">
        <v>88</v>
      </c>
      <c r="O183" s="30" t="str">
        <f t="shared" si="4"/>
        <v>เพียงพอ</v>
      </c>
      <c r="P183" s="30" t="s">
        <v>290</v>
      </c>
    </row>
    <row r="184" ht="47.25" customHeight="1">
      <c r="A184" s="30" t="str">
        <f t="shared" si="1"/>
        <v/>
      </c>
      <c r="B184" s="30" t="s">
        <v>159</v>
      </c>
      <c r="C184" s="32" t="str">
        <f t="shared" si="2"/>
        <v/>
      </c>
      <c r="D184" s="33" t="s">
        <v>496</v>
      </c>
      <c r="E184" s="30" t="s">
        <v>497</v>
      </c>
      <c r="F184" s="33" t="s">
        <v>294</v>
      </c>
      <c r="G184" s="30" t="s">
        <v>498</v>
      </c>
      <c r="H184" s="30">
        <v>1.0</v>
      </c>
      <c r="I184" s="33">
        <v>0.0</v>
      </c>
      <c r="J184" s="30">
        <v>0.0</v>
      </c>
      <c r="K184" s="30">
        <v>1.0</v>
      </c>
      <c r="L184" s="30">
        <v>0.0</v>
      </c>
      <c r="M184" s="30">
        <f t="shared" si="3"/>
        <v>1</v>
      </c>
      <c r="N184" s="30" t="s">
        <v>88</v>
      </c>
      <c r="O184" s="30" t="str">
        <f t="shared" si="4"/>
        <v>เพียงพอ</v>
      </c>
      <c r="P184" s="30" t="s">
        <v>290</v>
      </c>
    </row>
    <row r="185" ht="47.25" customHeight="1">
      <c r="A185" s="30" t="str">
        <f t="shared" si="1"/>
        <v/>
      </c>
      <c r="B185" s="30" t="s">
        <v>159</v>
      </c>
      <c r="C185" s="32" t="str">
        <f t="shared" si="2"/>
        <v/>
      </c>
      <c r="D185" s="33" t="s">
        <v>499</v>
      </c>
      <c r="E185" s="30" t="s">
        <v>500</v>
      </c>
      <c r="F185" s="33" t="s">
        <v>294</v>
      </c>
      <c r="G185" s="30" t="s">
        <v>457</v>
      </c>
      <c r="H185" s="30">
        <v>2.0</v>
      </c>
      <c r="I185" s="33">
        <v>0.0</v>
      </c>
      <c r="J185" s="30">
        <v>0.0</v>
      </c>
      <c r="K185" s="30">
        <v>2.0</v>
      </c>
      <c r="L185" s="30">
        <v>0.0</v>
      </c>
      <c r="M185" s="30">
        <f t="shared" si="3"/>
        <v>2</v>
      </c>
      <c r="N185" s="30" t="s">
        <v>88</v>
      </c>
      <c r="O185" s="30" t="str">
        <f t="shared" si="4"/>
        <v>เพียงพอ</v>
      </c>
      <c r="P185" s="30" t="s">
        <v>290</v>
      </c>
    </row>
    <row r="186" ht="47.25" customHeight="1">
      <c r="A186" s="30" t="str">
        <f t="shared" si="1"/>
        <v/>
      </c>
      <c r="B186" s="30" t="s">
        <v>159</v>
      </c>
      <c r="C186" s="32" t="str">
        <f t="shared" si="2"/>
        <v/>
      </c>
      <c r="D186" s="33" t="s">
        <v>501</v>
      </c>
      <c r="E186" s="30" t="s">
        <v>502</v>
      </c>
      <c r="F186" s="33" t="s">
        <v>294</v>
      </c>
      <c r="G186" s="30" t="s">
        <v>459</v>
      </c>
      <c r="H186" s="30">
        <v>1.0</v>
      </c>
      <c r="I186" s="33">
        <v>0.0</v>
      </c>
      <c r="J186" s="30">
        <v>0.0</v>
      </c>
      <c r="K186" s="30">
        <v>1.0</v>
      </c>
      <c r="L186" s="30">
        <v>0.0</v>
      </c>
      <c r="M186" s="30">
        <f t="shared" si="3"/>
        <v>1</v>
      </c>
      <c r="N186" s="30" t="s">
        <v>88</v>
      </c>
      <c r="O186" s="30" t="str">
        <f t="shared" si="4"/>
        <v>เพียงพอ</v>
      </c>
      <c r="P186" s="30" t="s">
        <v>290</v>
      </c>
    </row>
    <row r="187" ht="47.25" customHeight="1">
      <c r="A187" s="30" t="str">
        <f t="shared" si="1"/>
        <v/>
      </c>
      <c r="B187" s="30" t="s">
        <v>159</v>
      </c>
      <c r="C187" s="32" t="str">
        <f t="shared" si="2"/>
        <v/>
      </c>
      <c r="D187" s="33" t="s">
        <v>503</v>
      </c>
      <c r="E187" s="30" t="s">
        <v>504</v>
      </c>
      <c r="F187" s="33" t="s">
        <v>294</v>
      </c>
      <c r="G187" s="30" t="s">
        <v>459</v>
      </c>
      <c r="H187" s="30">
        <v>1.0</v>
      </c>
      <c r="I187" s="33">
        <v>0.0</v>
      </c>
      <c r="J187" s="30">
        <v>0.0</v>
      </c>
      <c r="K187" s="30">
        <v>1.0</v>
      </c>
      <c r="L187" s="30">
        <v>0.0</v>
      </c>
      <c r="M187" s="30">
        <f t="shared" si="3"/>
        <v>1</v>
      </c>
      <c r="N187" s="30" t="s">
        <v>88</v>
      </c>
      <c r="O187" s="30" t="str">
        <f t="shared" si="4"/>
        <v>เพียงพอ</v>
      </c>
      <c r="P187" s="30" t="s">
        <v>290</v>
      </c>
    </row>
    <row r="188" ht="47.25" customHeight="1">
      <c r="A188" s="30" t="str">
        <f t="shared" si="1"/>
        <v/>
      </c>
      <c r="B188" s="30" t="s">
        <v>159</v>
      </c>
      <c r="C188" s="32" t="str">
        <f t="shared" si="2"/>
        <v/>
      </c>
      <c r="D188" s="33" t="s">
        <v>505</v>
      </c>
      <c r="E188" s="30" t="s">
        <v>506</v>
      </c>
      <c r="F188" s="33" t="s">
        <v>294</v>
      </c>
      <c r="G188" s="30" t="s">
        <v>459</v>
      </c>
      <c r="H188" s="30">
        <v>1.0</v>
      </c>
      <c r="I188" s="33">
        <v>0.0</v>
      </c>
      <c r="J188" s="30">
        <v>0.0</v>
      </c>
      <c r="K188" s="30">
        <v>1.0</v>
      </c>
      <c r="L188" s="30">
        <v>0.0</v>
      </c>
      <c r="M188" s="30">
        <f t="shared" si="3"/>
        <v>1</v>
      </c>
      <c r="N188" s="30" t="s">
        <v>88</v>
      </c>
      <c r="O188" s="30" t="str">
        <f t="shared" si="4"/>
        <v>เพียงพอ</v>
      </c>
      <c r="P188" s="30" t="s">
        <v>290</v>
      </c>
    </row>
    <row r="189" ht="47.25" customHeight="1">
      <c r="A189" s="30" t="str">
        <f t="shared" si="1"/>
        <v/>
      </c>
      <c r="B189" s="30" t="s">
        <v>159</v>
      </c>
      <c r="C189" s="32" t="str">
        <f t="shared" si="2"/>
        <v/>
      </c>
      <c r="D189" s="33" t="s">
        <v>507</v>
      </c>
      <c r="E189" s="30" t="s">
        <v>508</v>
      </c>
      <c r="F189" s="33" t="s">
        <v>294</v>
      </c>
      <c r="G189" s="30" t="s">
        <v>459</v>
      </c>
      <c r="H189" s="30">
        <v>1.0</v>
      </c>
      <c r="I189" s="33">
        <v>0.0</v>
      </c>
      <c r="J189" s="30">
        <v>0.0</v>
      </c>
      <c r="K189" s="30">
        <v>1.0</v>
      </c>
      <c r="L189" s="30">
        <v>0.0</v>
      </c>
      <c r="M189" s="30">
        <f t="shared" si="3"/>
        <v>1</v>
      </c>
      <c r="N189" s="30" t="s">
        <v>88</v>
      </c>
      <c r="O189" s="30" t="str">
        <f t="shared" si="4"/>
        <v>เพียงพอ</v>
      </c>
      <c r="P189" s="30" t="s">
        <v>290</v>
      </c>
    </row>
    <row r="190" ht="47.25" customHeight="1">
      <c r="A190" s="30" t="str">
        <f t="shared" si="1"/>
        <v/>
      </c>
      <c r="B190" s="30" t="s">
        <v>159</v>
      </c>
      <c r="C190" s="32" t="str">
        <f t="shared" si="2"/>
        <v/>
      </c>
      <c r="D190" s="33" t="s">
        <v>509</v>
      </c>
      <c r="E190" s="30" t="s">
        <v>355</v>
      </c>
      <c r="F190" s="33" t="s">
        <v>294</v>
      </c>
      <c r="G190" s="30" t="s">
        <v>459</v>
      </c>
      <c r="H190" s="30">
        <v>1.0</v>
      </c>
      <c r="I190" s="33">
        <v>0.0</v>
      </c>
      <c r="J190" s="30">
        <v>0.0</v>
      </c>
      <c r="K190" s="30">
        <v>1.0</v>
      </c>
      <c r="L190" s="30">
        <v>0.0</v>
      </c>
      <c r="M190" s="30">
        <f t="shared" si="3"/>
        <v>1</v>
      </c>
      <c r="N190" s="30" t="s">
        <v>88</v>
      </c>
      <c r="O190" s="30" t="str">
        <f t="shared" si="4"/>
        <v>เพียงพอ</v>
      </c>
      <c r="P190" s="30" t="s">
        <v>290</v>
      </c>
    </row>
    <row r="191" ht="47.25" customHeight="1">
      <c r="A191" s="30" t="str">
        <f t="shared" si="1"/>
        <v/>
      </c>
      <c r="B191" s="30" t="s">
        <v>159</v>
      </c>
      <c r="C191" s="32" t="str">
        <f t="shared" si="2"/>
        <v/>
      </c>
      <c r="D191" s="33" t="s">
        <v>510</v>
      </c>
      <c r="E191" s="30" t="s">
        <v>511</v>
      </c>
      <c r="F191" s="33" t="s">
        <v>294</v>
      </c>
      <c r="G191" s="30" t="s">
        <v>459</v>
      </c>
      <c r="H191" s="30">
        <v>1.0</v>
      </c>
      <c r="I191" s="33">
        <v>0.0</v>
      </c>
      <c r="J191" s="30">
        <v>0.0</v>
      </c>
      <c r="K191" s="30">
        <v>1.0</v>
      </c>
      <c r="L191" s="30">
        <v>0.0</v>
      </c>
      <c r="M191" s="30">
        <f t="shared" si="3"/>
        <v>1</v>
      </c>
      <c r="N191" s="30" t="s">
        <v>88</v>
      </c>
      <c r="O191" s="30" t="str">
        <f t="shared" si="4"/>
        <v>เพียงพอ</v>
      </c>
      <c r="P191" s="30" t="s">
        <v>290</v>
      </c>
    </row>
    <row r="192" ht="47.25" customHeight="1">
      <c r="A192" s="30" t="str">
        <f t="shared" si="1"/>
        <v/>
      </c>
      <c r="B192" s="30" t="s">
        <v>159</v>
      </c>
      <c r="C192" s="32" t="str">
        <f t="shared" si="2"/>
        <v/>
      </c>
      <c r="D192" s="33" t="s">
        <v>512</v>
      </c>
      <c r="E192" s="33" t="s">
        <v>513</v>
      </c>
      <c r="F192" s="33" t="s">
        <v>294</v>
      </c>
      <c r="G192" s="33" t="s">
        <v>514</v>
      </c>
      <c r="H192" s="30">
        <v>1.0</v>
      </c>
      <c r="I192" s="33">
        <v>0.0</v>
      </c>
      <c r="J192" s="34">
        <v>0.0</v>
      </c>
      <c r="K192" s="34">
        <v>1.0</v>
      </c>
      <c r="L192" s="34">
        <v>0.0</v>
      </c>
      <c r="M192" s="30">
        <f t="shared" si="3"/>
        <v>1</v>
      </c>
      <c r="N192" s="33" t="s">
        <v>88</v>
      </c>
      <c r="O192" s="30" t="str">
        <f t="shared" si="4"/>
        <v>เพียงพอ</v>
      </c>
      <c r="P192" s="33" t="s">
        <v>290</v>
      </c>
    </row>
    <row r="193" ht="47.25" customHeight="1">
      <c r="A193" s="30" t="str">
        <f t="shared" si="1"/>
        <v/>
      </c>
      <c r="B193" s="30" t="s">
        <v>159</v>
      </c>
      <c r="C193" s="32" t="str">
        <f t="shared" si="2"/>
        <v/>
      </c>
      <c r="D193" s="33" t="s">
        <v>515</v>
      </c>
      <c r="E193" s="30" t="s">
        <v>516</v>
      </c>
      <c r="F193" s="33" t="s">
        <v>294</v>
      </c>
      <c r="G193" s="30" t="s">
        <v>459</v>
      </c>
      <c r="H193" s="30">
        <v>1.0</v>
      </c>
      <c r="I193" s="33">
        <v>0.0</v>
      </c>
      <c r="J193" s="30">
        <v>0.0</v>
      </c>
      <c r="K193" s="30">
        <v>1.0</v>
      </c>
      <c r="L193" s="30">
        <v>0.0</v>
      </c>
      <c r="M193" s="30">
        <f t="shared" si="3"/>
        <v>1</v>
      </c>
      <c r="N193" s="30" t="s">
        <v>88</v>
      </c>
      <c r="O193" s="30" t="str">
        <f t="shared" si="4"/>
        <v>เพียงพอ</v>
      </c>
      <c r="P193" s="30" t="s">
        <v>290</v>
      </c>
    </row>
    <row r="194" ht="47.25" customHeight="1">
      <c r="A194" s="30" t="str">
        <f t="shared" si="1"/>
        <v/>
      </c>
      <c r="B194" s="30" t="s">
        <v>159</v>
      </c>
      <c r="C194" s="32" t="str">
        <f t="shared" si="2"/>
        <v/>
      </c>
      <c r="D194" s="33" t="s">
        <v>517</v>
      </c>
      <c r="E194" s="30" t="s">
        <v>518</v>
      </c>
      <c r="F194" s="30" t="s">
        <v>300</v>
      </c>
      <c r="G194" s="30" t="s">
        <v>459</v>
      </c>
      <c r="H194" s="30">
        <v>1.0</v>
      </c>
      <c r="I194" s="33">
        <v>0.0</v>
      </c>
      <c r="J194" s="30">
        <v>0.0</v>
      </c>
      <c r="K194" s="30">
        <v>1.0</v>
      </c>
      <c r="L194" s="30">
        <v>0.0</v>
      </c>
      <c r="M194" s="30">
        <f t="shared" si="3"/>
        <v>1</v>
      </c>
      <c r="N194" s="30" t="s">
        <v>88</v>
      </c>
      <c r="O194" s="30" t="str">
        <f t="shared" si="4"/>
        <v>เพียงพอ</v>
      </c>
      <c r="P194" s="30" t="s">
        <v>290</v>
      </c>
    </row>
    <row r="195" ht="47.25" customHeight="1">
      <c r="A195" s="30" t="str">
        <f t="shared" si="1"/>
        <v/>
      </c>
      <c r="B195" s="30" t="s">
        <v>159</v>
      </c>
      <c r="C195" s="32" t="str">
        <f t="shared" si="2"/>
        <v/>
      </c>
      <c r="D195" s="33" t="s">
        <v>519</v>
      </c>
      <c r="E195" s="30" t="s">
        <v>401</v>
      </c>
      <c r="F195" s="33" t="s">
        <v>294</v>
      </c>
      <c r="G195" s="30" t="s">
        <v>459</v>
      </c>
      <c r="H195" s="30">
        <v>1.0</v>
      </c>
      <c r="I195" s="33">
        <v>0.0</v>
      </c>
      <c r="J195" s="30">
        <v>0.0</v>
      </c>
      <c r="K195" s="30">
        <v>1.0</v>
      </c>
      <c r="L195" s="30">
        <v>0.0</v>
      </c>
      <c r="M195" s="30">
        <f t="shared" si="3"/>
        <v>1</v>
      </c>
      <c r="N195" s="30" t="s">
        <v>88</v>
      </c>
      <c r="O195" s="30" t="str">
        <f t="shared" si="4"/>
        <v>เพียงพอ</v>
      </c>
      <c r="P195" s="30" t="s">
        <v>290</v>
      </c>
    </row>
    <row r="196" ht="47.25" customHeight="1">
      <c r="A196" s="30" t="str">
        <f t="shared" si="1"/>
        <v/>
      </c>
      <c r="B196" s="30" t="s">
        <v>159</v>
      </c>
      <c r="C196" s="32" t="str">
        <f t="shared" si="2"/>
        <v/>
      </c>
      <c r="D196" s="33" t="s">
        <v>520</v>
      </c>
      <c r="E196" s="30" t="s">
        <v>521</v>
      </c>
      <c r="F196" s="33" t="s">
        <v>294</v>
      </c>
      <c r="G196" s="30" t="s">
        <v>459</v>
      </c>
      <c r="H196" s="30">
        <v>1.0</v>
      </c>
      <c r="I196" s="33">
        <v>0.0</v>
      </c>
      <c r="J196" s="30">
        <v>0.0</v>
      </c>
      <c r="K196" s="30">
        <v>1.0</v>
      </c>
      <c r="L196" s="30">
        <v>0.0</v>
      </c>
      <c r="M196" s="30">
        <f t="shared" si="3"/>
        <v>1</v>
      </c>
      <c r="N196" s="30" t="s">
        <v>88</v>
      </c>
      <c r="O196" s="30" t="str">
        <f t="shared" si="4"/>
        <v>เพียงพอ</v>
      </c>
      <c r="P196" s="30" t="s">
        <v>290</v>
      </c>
    </row>
    <row r="197" ht="47.25" customHeight="1">
      <c r="A197" s="30" t="str">
        <f t="shared" si="1"/>
        <v/>
      </c>
      <c r="B197" s="30" t="s">
        <v>159</v>
      </c>
      <c r="C197" s="32" t="str">
        <f t="shared" si="2"/>
        <v/>
      </c>
      <c r="D197" s="33" t="s">
        <v>522</v>
      </c>
      <c r="E197" s="30" t="s">
        <v>388</v>
      </c>
      <c r="F197" s="33" t="s">
        <v>294</v>
      </c>
      <c r="G197" s="30" t="s">
        <v>459</v>
      </c>
      <c r="H197" s="30">
        <v>1.0</v>
      </c>
      <c r="I197" s="33">
        <v>0.0</v>
      </c>
      <c r="J197" s="30">
        <v>0.0</v>
      </c>
      <c r="K197" s="30">
        <v>1.0</v>
      </c>
      <c r="L197" s="30">
        <v>0.0</v>
      </c>
      <c r="M197" s="30">
        <f t="shared" si="3"/>
        <v>1</v>
      </c>
      <c r="N197" s="30" t="s">
        <v>88</v>
      </c>
      <c r="O197" s="30" t="str">
        <f t="shared" si="4"/>
        <v>เพียงพอ</v>
      </c>
      <c r="P197" s="30" t="s">
        <v>290</v>
      </c>
    </row>
    <row r="198" ht="47.25" customHeight="1">
      <c r="A198" s="30" t="str">
        <f t="shared" si="1"/>
        <v/>
      </c>
      <c r="B198" s="30" t="s">
        <v>159</v>
      </c>
      <c r="C198" s="32" t="str">
        <f t="shared" si="2"/>
        <v/>
      </c>
      <c r="D198" s="33" t="s">
        <v>523</v>
      </c>
      <c r="E198" s="30" t="s">
        <v>524</v>
      </c>
      <c r="F198" s="33" t="s">
        <v>294</v>
      </c>
      <c r="G198" s="30" t="s">
        <v>459</v>
      </c>
      <c r="H198" s="30">
        <v>1.0</v>
      </c>
      <c r="I198" s="33">
        <v>0.0</v>
      </c>
      <c r="J198" s="30">
        <v>0.0</v>
      </c>
      <c r="K198" s="30">
        <v>1.0</v>
      </c>
      <c r="L198" s="30">
        <v>0.0</v>
      </c>
      <c r="M198" s="30">
        <f t="shared" si="3"/>
        <v>1</v>
      </c>
      <c r="N198" s="30" t="s">
        <v>88</v>
      </c>
      <c r="O198" s="30" t="str">
        <f t="shared" si="4"/>
        <v>เพียงพอ</v>
      </c>
      <c r="P198" s="30" t="s">
        <v>290</v>
      </c>
    </row>
    <row r="199" ht="47.25" customHeight="1">
      <c r="A199" s="30" t="str">
        <f t="shared" si="1"/>
        <v/>
      </c>
      <c r="B199" s="30" t="s">
        <v>159</v>
      </c>
      <c r="C199" s="32" t="str">
        <f t="shared" si="2"/>
        <v/>
      </c>
      <c r="D199" s="33" t="s">
        <v>525</v>
      </c>
      <c r="E199" s="30" t="s">
        <v>526</v>
      </c>
      <c r="F199" s="33" t="s">
        <v>294</v>
      </c>
      <c r="G199" s="30" t="s">
        <v>477</v>
      </c>
      <c r="H199" s="30">
        <v>1.0</v>
      </c>
      <c r="I199" s="33">
        <v>0.0</v>
      </c>
      <c r="J199" s="30">
        <v>0.0</v>
      </c>
      <c r="K199" s="30">
        <v>1.0</v>
      </c>
      <c r="L199" s="30">
        <v>0.0</v>
      </c>
      <c r="M199" s="30">
        <f t="shared" si="3"/>
        <v>1</v>
      </c>
      <c r="N199" s="30" t="s">
        <v>88</v>
      </c>
      <c r="O199" s="30" t="str">
        <f t="shared" si="4"/>
        <v>เพียงพอ</v>
      </c>
      <c r="P199" s="30" t="s">
        <v>290</v>
      </c>
    </row>
    <row r="200" ht="47.25" customHeight="1">
      <c r="A200" s="30" t="str">
        <f t="shared" si="1"/>
        <v/>
      </c>
      <c r="B200" s="30" t="s">
        <v>159</v>
      </c>
      <c r="C200" s="32" t="str">
        <f t="shared" si="2"/>
        <v/>
      </c>
      <c r="D200" s="33" t="s">
        <v>527</v>
      </c>
      <c r="E200" s="30" t="s">
        <v>526</v>
      </c>
      <c r="F200" s="33" t="s">
        <v>294</v>
      </c>
      <c r="G200" s="30" t="s">
        <v>477</v>
      </c>
      <c r="H200" s="30">
        <v>1.0</v>
      </c>
      <c r="I200" s="33">
        <v>0.0</v>
      </c>
      <c r="J200" s="30">
        <v>0.0</v>
      </c>
      <c r="K200" s="30">
        <v>1.0</v>
      </c>
      <c r="L200" s="30">
        <v>0.0</v>
      </c>
      <c r="M200" s="30">
        <f t="shared" si="3"/>
        <v>1</v>
      </c>
      <c r="N200" s="30" t="s">
        <v>88</v>
      </c>
      <c r="O200" s="30" t="str">
        <f t="shared" si="4"/>
        <v>เพียงพอ</v>
      </c>
      <c r="P200" s="30" t="s">
        <v>290</v>
      </c>
    </row>
    <row r="201" ht="47.25" customHeight="1">
      <c r="A201" s="30" t="str">
        <f t="shared" si="1"/>
        <v/>
      </c>
      <c r="B201" s="30" t="s">
        <v>159</v>
      </c>
      <c r="C201" s="32" t="str">
        <f t="shared" si="2"/>
        <v/>
      </c>
      <c r="D201" s="33" t="s">
        <v>528</v>
      </c>
      <c r="E201" s="30" t="s">
        <v>322</v>
      </c>
      <c r="F201" s="33" t="s">
        <v>294</v>
      </c>
      <c r="G201" s="30" t="s">
        <v>457</v>
      </c>
      <c r="H201" s="30">
        <v>1.0</v>
      </c>
      <c r="I201" s="33">
        <v>0.0</v>
      </c>
      <c r="J201" s="30">
        <v>0.0</v>
      </c>
      <c r="K201" s="30">
        <v>1.0</v>
      </c>
      <c r="L201" s="30">
        <v>0.0</v>
      </c>
      <c r="M201" s="30">
        <f t="shared" si="3"/>
        <v>1</v>
      </c>
      <c r="N201" s="30" t="s">
        <v>88</v>
      </c>
      <c r="O201" s="30" t="str">
        <f t="shared" si="4"/>
        <v>เพียงพอ</v>
      </c>
      <c r="P201" s="30" t="s">
        <v>290</v>
      </c>
    </row>
    <row r="202" ht="47.25" customHeight="1">
      <c r="A202" s="30" t="str">
        <f t="shared" si="1"/>
        <v/>
      </c>
      <c r="B202" s="30" t="s">
        <v>159</v>
      </c>
      <c r="C202" s="32" t="str">
        <f t="shared" si="2"/>
        <v/>
      </c>
      <c r="D202" s="33" t="s">
        <v>529</v>
      </c>
      <c r="E202" s="30" t="s">
        <v>530</v>
      </c>
      <c r="F202" s="33" t="s">
        <v>294</v>
      </c>
      <c r="G202" s="30" t="s">
        <v>531</v>
      </c>
      <c r="H202" s="30">
        <v>1.0</v>
      </c>
      <c r="I202" s="33">
        <v>0.0</v>
      </c>
      <c r="J202" s="30">
        <v>0.0</v>
      </c>
      <c r="K202" s="30">
        <v>1.0</v>
      </c>
      <c r="L202" s="30">
        <v>0.0</v>
      </c>
      <c r="M202" s="30">
        <f t="shared" si="3"/>
        <v>1</v>
      </c>
      <c r="N202" s="30" t="s">
        <v>88</v>
      </c>
      <c r="O202" s="30" t="str">
        <f t="shared" si="4"/>
        <v>เพียงพอ</v>
      </c>
      <c r="P202" s="30" t="s">
        <v>290</v>
      </c>
    </row>
    <row r="203" ht="47.25" customHeight="1">
      <c r="A203" s="30" t="str">
        <f t="shared" si="1"/>
        <v/>
      </c>
      <c r="B203" s="30" t="s">
        <v>159</v>
      </c>
      <c r="C203" s="32" t="str">
        <f t="shared" si="2"/>
        <v/>
      </c>
      <c r="D203" s="33" t="s">
        <v>532</v>
      </c>
      <c r="E203" s="30" t="s">
        <v>533</v>
      </c>
      <c r="F203" s="33" t="s">
        <v>294</v>
      </c>
      <c r="G203" s="30" t="s">
        <v>531</v>
      </c>
      <c r="H203" s="30">
        <v>1.0</v>
      </c>
      <c r="I203" s="33">
        <v>0.0</v>
      </c>
      <c r="J203" s="30">
        <v>0.0</v>
      </c>
      <c r="K203" s="30">
        <v>1.0</v>
      </c>
      <c r="L203" s="30">
        <v>0.0</v>
      </c>
      <c r="M203" s="30">
        <f t="shared" si="3"/>
        <v>1</v>
      </c>
      <c r="N203" s="30" t="s">
        <v>88</v>
      </c>
      <c r="O203" s="30" t="str">
        <f t="shared" si="4"/>
        <v>เพียงพอ</v>
      </c>
      <c r="P203" s="30" t="s">
        <v>290</v>
      </c>
    </row>
    <row r="204" ht="47.25" customHeight="1">
      <c r="A204" s="30" t="str">
        <f t="shared" si="1"/>
        <v/>
      </c>
      <c r="B204" s="35">
        <v>46315.71565972222</v>
      </c>
      <c r="C204" s="32" t="str">
        <f t="shared" si="2"/>
        <v/>
      </c>
      <c r="D204" s="33" t="s">
        <v>534</v>
      </c>
      <c r="E204" s="33" t="s">
        <v>535</v>
      </c>
      <c r="F204" s="33" t="s">
        <v>294</v>
      </c>
      <c r="G204" s="33" t="s">
        <v>536</v>
      </c>
      <c r="H204" s="34">
        <v>1.0</v>
      </c>
      <c r="I204" s="33">
        <v>0.0</v>
      </c>
      <c r="J204" s="34">
        <v>0.0</v>
      </c>
      <c r="K204" s="34">
        <v>1.0</v>
      </c>
      <c r="L204" s="34">
        <v>0.0</v>
      </c>
      <c r="M204" s="30">
        <f t="shared" si="3"/>
        <v>1</v>
      </c>
      <c r="N204" s="33" t="s">
        <v>88</v>
      </c>
      <c r="O204" s="30" t="str">
        <f t="shared" si="4"/>
        <v>เพียงพอ</v>
      </c>
      <c r="P204" s="33" t="s">
        <v>290</v>
      </c>
    </row>
    <row r="205" ht="47.25" customHeight="1">
      <c r="A205" s="30" t="str">
        <f t="shared" si="1"/>
        <v/>
      </c>
      <c r="B205" s="35">
        <v>46315.715891203705</v>
      </c>
      <c r="C205" s="32" t="str">
        <f t="shared" si="2"/>
        <v/>
      </c>
      <c r="D205" s="33" t="s">
        <v>537</v>
      </c>
      <c r="E205" s="33" t="s">
        <v>538</v>
      </c>
      <c r="F205" s="33" t="s">
        <v>294</v>
      </c>
      <c r="G205" s="33" t="s">
        <v>539</v>
      </c>
      <c r="H205" s="34">
        <v>1.0</v>
      </c>
      <c r="I205" s="33">
        <v>0.0</v>
      </c>
      <c r="J205" s="34">
        <v>0.0</v>
      </c>
      <c r="K205" s="34">
        <v>1.0</v>
      </c>
      <c r="L205" s="34">
        <v>0.0</v>
      </c>
      <c r="M205" s="30">
        <f t="shared" si="3"/>
        <v>1</v>
      </c>
      <c r="N205" s="33" t="s">
        <v>88</v>
      </c>
      <c r="O205" s="30" t="str">
        <f t="shared" si="4"/>
        <v>เพียงพอ</v>
      </c>
      <c r="P205" s="33" t="s">
        <v>290</v>
      </c>
    </row>
    <row r="206" ht="47.25" customHeight="1">
      <c r="A206" s="30" t="str">
        <f t="shared" si="1"/>
        <v/>
      </c>
      <c r="B206" s="30" t="s">
        <v>159</v>
      </c>
      <c r="C206" s="32" t="str">
        <f t="shared" si="2"/>
        <v/>
      </c>
      <c r="D206" s="33" t="s">
        <v>540</v>
      </c>
      <c r="E206" s="30" t="s">
        <v>541</v>
      </c>
      <c r="F206" s="33" t="s">
        <v>294</v>
      </c>
      <c r="G206" s="30" t="s">
        <v>531</v>
      </c>
      <c r="H206" s="30">
        <v>1.0</v>
      </c>
      <c r="I206" s="33">
        <v>0.0</v>
      </c>
      <c r="J206" s="30">
        <v>0.0</v>
      </c>
      <c r="K206" s="30">
        <v>1.0</v>
      </c>
      <c r="L206" s="30">
        <v>0.0</v>
      </c>
      <c r="M206" s="30">
        <f t="shared" si="3"/>
        <v>1</v>
      </c>
      <c r="N206" s="30" t="s">
        <v>88</v>
      </c>
      <c r="O206" s="30" t="str">
        <f t="shared" si="4"/>
        <v>เพียงพอ</v>
      </c>
      <c r="P206" s="30" t="s">
        <v>290</v>
      </c>
    </row>
    <row r="207" ht="47.25" customHeight="1">
      <c r="A207" s="30" t="str">
        <f t="shared" si="1"/>
        <v/>
      </c>
      <c r="B207" s="30" t="s">
        <v>159</v>
      </c>
      <c r="C207" s="32" t="str">
        <f t="shared" si="2"/>
        <v/>
      </c>
      <c r="D207" s="33" t="s">
        <v>542</v>
      </c>
      <c r="E207" s="30" t="s">
        <v>543</v>
      </c>
      <c r="F207" s="33" t="s">
        <v>294</v>
      </c>
      <c r="G207" s="30" t="s">
        <v>539</v>
      </c>
      <c r="H207" s="30">
        <v>1.0</v>
      </c>
      <c r="I207" s="33">
        <v>0.0</v>
      </c>
      <c r="J207" s="30">
        <v>0.0</v>
      </c>
      <c r="K207" s="30">
        <v>1.0</v>
      </c>
      <c r="L207" s="30">
        <v>0.0</v>
      </c>
      <c r="M207" s="30">
        <f t="shared" si="3"/>
        <v>1</v>
      </c>
      <c r="N207" s="30" t="s">
        <v>88</v>
      </c>
      <c r="O207" s="30" t="str">
        <f t="shared" si="4"/>
        <v>เพียงพอ</v>
      </c>
      <c r="P207" s="30" t="s">
        <v>290</v>
      </c>
    </row>
    <row r="208" ht="47.25" customHeight="1">
      <c r="A208" s="30" t="str">
        <f t="shared" si="1"/>
        <v/>
      </c>
      <c r="B208" s="30" t="s">
        <v>159</v>
      </c>
      <c r="C208" s="32" t="str">
        <f t="shared" si="2"/>
        <v/>
      </c>
      <c r="D208" s="33" t="s">
        <v>544</v>
      </c>
      <c r="E208" s="30" t="s">
        <v>545</v>
      </c>
      <c r="F208" s="30" t="s">
        <v>300</v>
      </c>
      <c r="G208" s="30" t="s">
        <v>539</v>
      </c>
      <c r="H208" s="30">
        <v>1.0</v>
      </c>
      <c r="I208" s="33">
        <v>0.0</v>
      </c>
      <c r="J208" s="30">
        <v>0.0</v>
      </c>
      <c r="K208" s="30">
        <v>1.0</v>
      </c>
      <c r="L208" s="30">
        <v>0.0</v>
      </c>
      <c r="M208" s="30">
        <f t="shared" si="3"/>
        <v>1</v>
      </c>
      <c r="N208" s="30" t="s">
        <v>88</v>
      </c>
      <c r="O208" s="30" t="str">
        <f t="shared" si="4"/>
        <v>เพียงพอ</v>
      </c>
      <c r="P208" s="30" t="s">
        <v>290</v>
      </c>
    </row>
    <row r="209" ht="47.25" customHeight="1">
      <c r="A209" s="30" t="str">
        <f t="shared" si="1"/>
        <v/>
      </c>
      <c r="B209" s="30" t="s">
        <v>159</v>
      </c>
      <c r="C209" s="32" t="str">
        <f t="shared" si="2"/>
        <v/>
      </c>
      <c r="D209" s="33" t="s">
        <v>546</v>
      </c>
      <c r="E209" s="30" t="s">
        <v>547</v>
      </c>
      <c r="F209" s="33" t="s">
        <v>294</v>
      </c>
      <c r="G209" s="30" t="s">
        <v>539</v>
      </c>
      <c r="H209" s="30">
        <v>1.0</v>
      </c>
      <c r="I209" s="33">
        <v>0.0</v>
      </c>
      <c r="J209" s="30">
        <v>0.0</v>
      </c>
      <c r="K209" s="30">
        <v>1.0</v>
      </c>
      <c r="L209" s="30">
        <v>0.0</v>
      </c>
      <c r="M209" s="30">
        <f t="shared" si="3"/>
        <v>1</v>
      </c>
      <c r="N209" s="30" t="s">
        <v>88</v>
      </c>
      <c r="O209" s="30" t="str">
        <f t="shared" si="4"/>
        <v>เพียงพอ</v>
      </c>
      <c r="P209" s="30" t="s">
        <v>290</v>
      </c>
    </row>
    <row r="210" ht="47.25" customHeight="1">
      <c r="A210" s="30" t="str">
        <f t="shared" si="1"/>
        <v/>
      </c>
      <c r="B210" s="30" t="s">
        <v>159</v>
      </c>
      <c r="C210" s="32" t="str">
        <f t="shared" si="2"/>
        <v/>
      </c>
      <c r="D210" s="33" t="s">
        <v>548</v>
      </c>
      <c r="E210" s="30" t="s">
        <v>549</v>
      </c>
      <c r="F210" s="33" t="s">
        <v>294</v>
      </c>
      <c r="G210" s="30" t="s">
        <v>550</v>
      </c>
      <c r="H210" s="30">
        <v>1.0</v>
      </c>
      <c r="I210" s="33">
        <v>0.0</v>
      </c>
      <c r="J210" s="30">
        <v>0.0</v>
      </c>
      <c r="K210" s="30">
        <v>1.0</v>
      </c>
      <c r="L210" s="30">
        <v>0.0</v>
      </c>
      <c r="M210" s="30">
        <f t="shared" si="3"/>
        <v>1</v>
      </c>
      <c r="N210" s="30" t="s">
        <v>88</v>
      </c>
      <c r="O210" s="30" t="str">
        <f t="shared" si="4"/>
        <v>เพียงพอ</v>
      </c>
      <c r="P210" s="30" t="s">
        <v>290</v>
      </c>
    </row>
    <row r="211" ht="47.25" customHeight="1">
      <c r="A211" s="30" t="str">
        <f t="shared" si="1"/>
        <v/>
      </c>
      <c r="B211" s="30" t="s">
        <v>159</v>
      </c>
      <c r="C211" s="32" t="str">
        <f t="shared" si="2"/>
        <v/>
      </c>
      <c r="D211" s="33" t="s">
        <v>551</v>
      </c>
      <c r="E211" s="30" t="s">
        <v>552</v>
      </c>
      <c r="F211" s="33" t="s">
        <v>81</v>
      </c>
      <c r="G211" s="30" t="s">
        <v>82</v>
      </c>
      <c r="H211" s="30">
        <v>1.0</v>
      </c>
      <c r="I211" s="33">
        <v>0.0</v>
      </c>
      <c r="J211" s="30">
        <v>0.0</v>
      </c>
      <c r="K211" s="30">
        <v>1.0</v>
      </c>
      <c r="L211" s="30">
        <v>0.0</v>
      </c>
      <c r="M211" s="30">
        <f t="shared" si="3"/>
        <v>1</v>
      </c>
      <c r="N211" s="30" t="s">
        <v>88</v>
      </c>
      <c r="O211" s="30" t="str">
        <f t="shared" si="4"/>
        <v>เพียงพอ</v>
      </c>
      <c r="P211" s="30" t="s">
        <v>553</v>
      </c>
    </row>
    <row r="212" ht="47.25" customHeight="1">
      <c r="A212" s="30" t="str">
        <f t="shared" si="1"/>
        <v/>
      </c>
      <c r="B212" s="35">
        <v>46315.48515046296</v>
      </c>
      <c r="C212" s="32" t="str">
        <f t="shared" si="2"/>
        <v/>
      </c>
      <c r="D212" s="33" t="s">
        <v>554</v>
      </c>
      <c r="E212" s="33" t="s">
        <v>555</v>
      </c>
      <c r="F212" s="33" t="s">
        <v>81</v>
      </c>
      <c r="G212" s="33" t="s">
        <v>82</v>
      </c>
      <c r="H212" s="34">
        <v>1.0</v>
      </c>
      <c r="I212" s="33">
        <v>0.0</v>
      </c>
      <c r="J212" s="34">
        <v>0.0</v>
      </c>
      <c r="K212" s="34">
        <v>1.0</v>
      </c>
      <c r="L212" s="34">
        <v>0.0</v>
      </c>
      <c r="M212" s="30">
        <f t="shared" si="3"/>
        <v>1</v>
      </c>
      <c r="N212" s="33" t="s">
        <v>88</v>
      </c>
      <c r="O212" s="30" t="str">
        <f t="shared" si="4"/>
        <v>เพียงพอ</v>
      </c>
      <c r="P212" s="33" t="s">
        <v>556</v>
      </c>
    </row>
    <row r="213" ht="47.25" customHeight="1">
      <c r="A213" s="30" t="str">
        <f t="shared" si="1"/>
        <v/>
      </c>
      <c r="B213" s="35">
        <v>46315.485300925924</v>
      </c>
      <c r="C213" s="32" t="str">
        <f t="shared" si="2"/>
        <v/>
      </c>
      <c r="D213" s="33" t="s">
        <v>557</v>
      </c>
      <c r="E213" s="33" t="s">
        <v>558</v>
      </c>
      <c r="F213" s="33" t="s">
        <v>81</v>
      </c>
      <c r="G213" s="33" t="s">
        <v>82</v>
      </c>
      <c r="H213" s="34">
        <v>1.0</v>
      </c>
      <c r="I213" s="33">
        <v>0.0</v>
      </c>
      <c r="J213" s="34">
        <v>0.0</v>
      </c>
      <c r="K213" s="34">
        <v>1.0</v>
      </c>
      <c r="L213" s="34">
        <v>0.0</v>
      </c>
      <c r="M213" s="30">
        <f t="shared" si="3"/>
        <v>1</v>
      </c>
      <c r="N213" s="33" t="s">
        <v>88</v>
      </c>
      <c r="O213" s="30" t="str">
        <f t="shared" si="4"/>
        <v>เพียงพอ</v>
      </c>
      <c r="P213" s="33" t="s">
        <v>556</v>
      </c>
    </row>
    <row r="214" ht="47.25" customHeight="1">
      <c r="A214" s="30" t="str">
        <f t="shared" si="1"/>
        <v/>
      </c>
      <c r="B214" s="35">
        <v>46315.48501157408</v>
      </c>
      <c r="C214" s="32" t="str">
        <f t="shared" si="2"/>
        <v/>
      </c>
      <c r="D214" s="33" t="s">
        <v>559</v>
      </c>
      <c r="E214" s="33" t="s">
        <v>560</v>
      </c>
      <c r="F214" s="33" t="s">
        <v>81</v>
      </c>
      <c r="G214" s="33" t="s">
        <v>82</v>
      </c>
      <c r="H214" s="34">
        <v>1.0</v>
      </c>
      <c r="I214" s="33">
        <v>0.0</v>
      </c>
      <c r="J214" s="34">
        <v>0.0</v>
      </c>
      <c r="K214" s="34">
        <v>1.0</v>
      </c>
      <c r="L214" s="34">
        <v>0.0</v>
      </c>
      <c r="M214" s="30">
        <f t="shared" si="3"/>
        <v>1</v>
      </c>
      <c r="N214" s="33" t="s">
        <v>88</v>
      </c>
      <c r="O214" s="30" t="str">
        <f t="shared" si="4"/>
        <v>เพียงพอ</v>
      </c>
      <c r="P214" s="33" t="s">
        <v>556</v>
      </c>
    </row>
    <row r="215" ht="47.25" customHeight="1">
      <c r="A215" s="30" t="str">
        <f t="shared" si="1"/>
        <v/>
      </c>
      <c r="B215" s="30" t="s">
        <v>159</v>
      </c>
      <c r="C215" s="32" t="str">
        <f t="shared" si="2"/>
        <v/>
      </c>
      <c r="D215" s="33" t="s">
        <v>561</v>
      </c>
      <c r="E215" s="30" t="s">
        <v>562</v>
      </c>
      <c r="F215" s="33" t="s">
        <v>81</v>
      </c>
      <c r="G215" s="30" t="s">
        <v>82</v>
      </c>
      <c r="H215" s="30">
        <v>1.0</v>
      </c>
      <c r="I215" s="33">
        <v>0.0</v>
      </c>
      <c r="J215" s="30">
        <v>0.0</v>
      </c>
      <c r="K215" s="30">
        <v>1.0</v>
      </c>
      <c r="L215" s="30">
        <v>0.0</v>
      </c>
      <c r="M215" s="30">
        <f t="shared" si="3"/>
        <v>1</v>
      </c>
      <c r="N215" s="30" t="s">
        <v>88</v>
      </c>
      <c r="O215" s="30" t="str">
        <f t="shared" si="4"/>
        <v>เพียงพอ</v>
      </c>
      <c r="P215" s="30" t="s">
        <v>563</v>
      </c>
    </row>
    <row r="216" ht="47.25" customHeight="1">
      <c r="A216" s="30" t="str">
        <f t="shared" si="1"/>
        <v/>
      </c>
      <c r="B216" s="30" t="s">
        <v>159</v>
      </c>
      <c r="C216" s="32" t="str">
        <f t="shared" si="2"/>
        <v/>
      </c>
      <c r="D216" s="33" t="s">
        <v>564</v>
      </c>
      <c r="E216" s="30" t="s">
        <v>565</v>
      </c>
      <c r="F216" s="33" t="s">
        <v>81</v>
      </c>
      <c r="G216" s="30" t="s">
        <v>82</v>
      </c>
      <c r="H216" s="30">
        <v>1.0</v>
      </c>
      <c r="I216" s="33">
        <v>0.0</v>
      </c>
      <c r="J216" s="30">
        <v>0.0</v>
      </c>
      <c r="K216" s="30">
        <v>1.0</v>
      </c>
      <c r="L216" s="30">
        <v>0.0</v>
      </c>
      <c r="M216" s="30">
        <f t="shared" si="3"/>
        <v>1</v>
      </c>
      <c r="N216" s="30" t="s">
        <v>88</v>
      </c>
      <c r="O216" s="30" t="str">
        <f t="shared" si="4"/>
        <v>เพียงพอ</v>
      </c>
      <c r="P216" s="30" t="s">
        <v>556</v>
      </c>
    </row>
    <row r="217" ht="47.25" customHeight="1">
      <c r="A217" s="30" t="str">
        <f t="shared" si="1"/>
        <v/>
      </c>
      <c r="B217" s="35">
        <v>46315.48486111111</v>
      </c>
      <c r="C217" s="32" t="str">
        <f t="shared" si="2"/>
        <v/>
      </c>
      <c r="D217" s="33" t="s">
        <v>566</v>
      </c>
      <c r="E217" s="33" t="s">
        <v>567</v>
      </c>
      <c r="F217" s="33" t="s">
        <v>81</v>
      </c>
      <c r="G217" s="33" t="s">
        <v>82</v>
      </c>
      <c r="H217" s="34">
        <v>1.0</v>
      </c>
      <c r="I217" s="33">
        <v>0.0</v>
      </c>
      <c r="J217" s="34">
        <v>0.0</v>
      </c>
      <c r="K217" s="34">
        <v>1.0</v>
      </c>
      <c r="L217" s="34">
        <v>0.0</v>
      </c>
      <c r="M217" s="30">
        <f t="shared" si="3"/>
        <v>1</v>
      </c>
      <c r="N217" s="33" t="s">
        <v>88</v>
      </c>
      <c r="O217" s="30" t="str">
        <f t="shared" si="4"/>
        <v>เพียงพอ</v>
      </c>
      <c r="P217" s="33" t="s">
        <v>556</v>
      </c>
    </row>
    <row r="218" ht="47.25" customHeight="1">
      <c r="A218" s="30" t="str">
        <f t="shared" si="1"/>
        <v/>
      </c>
      <c r="B218" s="30" t="s">
        <v>159</v>
      </c>
      <c r="C218" s="32" t="str">
        <f t="shared" si="2"/>
        <v/>
      </c>
      <c r="D218" s="33" t="s">
        <v>568</v>
      </c>
      <c r="E218" s="30" t="s">
        <v>569</v>
      </c>
      <c r="F218" s="33" t="s">
        <v>81</v>
      </c>
      <c r="G218" s="30" t="s">
        <v>82</v>
      </c>
      <c r="H218" s="30">
        <v>1.0</v>
      </c>
      <c r="I218" s="33">
        <v>0.0</v>
      </c>
      <c r="J218" s="30">
        <v>0.0</v>
      </c>
      <c r="K218" s="30">
        <v>1.0</v>
      </c>
      <c r="L218" s="30">
        <v>0.0</v>
      </c>
      <c r="M218" s="30">
        <f t="shared" si="3"/>
        <v>1</v>
      </c>
      <c r="N218" s="30" t="s">
        <v>88</v>
      </c>
      <c r="O218" s="30" t="str">
        <f t="shared" si="4"/>
        <v>เพียงพอ</v>
      </c>
      <c r="P218" s="30" t="s">
        <v>556</v>
      </c>
    </row>
    <row r="219" ht="47.25" customHeight="1">
      <c r="A219" s="30" t="str">
        <f t="shared" si="1"/>
        <v/>
      </c>
      <c r="B219" s="30" t="s">
        <v>159</v>
      </c>
      <c r="C219" s="32" t="str">
        <f t="shared" si="2"/>
        <v/>
      </c>
      <c r="D219" s="33" t="s">
        <v>570</v>
      </c>
      <c r="E219" s="30" t="s">
        <v>571</v>
      </c>
      <c r="F219" s="33" t="s">
        <v>81</v>
      </c>
      <c r="G219" s="30" t="s">
        <v>82</v>
      </c>
      <c r="H219" s="30">
        <v>1.0</v>
      </c>
      <c r="I219" s="33">
        <v>0.0</v>
      </c>
      <c r="J219" s="30">
        <v>0.0</v>
      </c>
      <c r="K219" s="30">
        <v>1.0</v>
      </c>
      <c r="L219" s="30">
        <v>0.0</v>
      </c>
      <c r="M219" s="30">
        <f t="shared" si="3"/>
        <v>1</v>
      </c>
      <c r="N219" s="30" t="s">
        <v>88</v>
      </c>
      <c r="O219" s="30" t="str">
        <f t="shared" si="4"/>
        <v>เพียงพอ</v>
      </c>
      <c r="P219" s="30" t="s">
        <v>572</v>
      </c>
    </row>
    <row r="220" ht="47.25" customHeight="1">
      <c r="A220" s="30" t="str">
        <f t="shared" si="1"/>
        <v/>
      </c>
      <c r="B220" s="30" t="s">
        <v>159</v>
      </c>
      <c r="C220" s="32" t="str">
        <f t="shared" si="2"/>
        <v/>
      </c>
      <c r="D220" s="33" t="s">
        <v>573</v>
      </c>
      <c r="E220" s="30" t="s">
        <v>574</v>
      </c>
      <c r="F220" s="33" t="s">
        <v>81</v>
      </c>
      <c r="G220" s="30" t="s">
        <v>82</v>
      </c>
      <c r="H220" s="30">
        <v>1.0</v>
      </c>
      <c r="I220" s="33">
        <v>0.0</v>
      </c>
      <c r="J220" s="30">
        <v>0.0</v>
      </c>
      <c r="K220" s="30">
        <v>1.0</v>
      </c>
      <c r="L220" s="30">
        <v>0.0</v>
      </c>
      <c r="M220" s="30">
        <f t="shared" si="3"/>
        <v>1</v>
      </c>
      <c r="N220" s="30" t="s">
        <v>88</v>
      </c>
      <c r="O220" s="30" t="str">
        <f t="shared" si="4"/>
        <v>เพียงพอ</v>
      </c>
      <c r="P220" s="30" t="s">
        <v>575</v>
      </c>
    </row>
    <row r="221" ht="47.25" customHeight="1">
      <c r="A221" s="30" t="str">
        <f t="shared" si="1"/>
        <v/>
      </c>
      <c r="B221" s="30" t="s">
        <v>159</v>
      </c>
      <c r="C221" s="32" t="str">
        <f t="shared" si="2"/>
        <v/>
      </c>
      <c r="D221" s="33" t="s">
        <v>576</v>
      </c>
      <c r="E221" s="30" t="s">
        <v>577</v>
      </c>
      <c r="F221" s="33" t="s">
        <v>81</v>
      </c>
      <c r="G221" s="30" t="s">
        <v>82</v>
      </c>
      <c r="H221" s="30">
        <v>1.0</v>
      </c>
      <c r="I221" s="33">
        <v>0.0</v>
      </c>
      <c r="J221" s="30">
        <v>0.0</v>
      </c>
      <c r="K221" s="30">
        <v>1.0</v>
      </c>
      <c r="L221" s="30">
        <v>0.0</v>
      </c>
      <c r="M221" s="30">
        <f t="shared" si="3"/>
        <v>1</v>
      </c>
      <c r="N221" s="30" t="s">
        <v>88</v>
      </c>
      <c r="O221" s="30" t="str">
        <f t="shared" si="4"/>
        <v>เพียงพอ</v>
      </c>
      <c r="P221" s="30" t="s">
        <v>556</v>
      </c>
    </row>
    <row r="222" ht="47.25" customHeight="1">
      <c r="A222" s="30" t="str">
        <f t="shared" si="1"/>
        <v/>
      </c>
      <c r="B222" s="35">
        <v>46315.48556712963</v>
      </c>
      <c r="C222" s="32" t="str">
        <f t="shared" si="2"/>
        <v/>
      </c>
      <c r="D222" s="33" t="s">
        <v>578</v>
      </c>
      <c r="E222" s="33" t="s">
        <v>579</v>
      </c>
      <c r="F222" s="33" t="s">
        <v>81</v>
      </c>
      <c r="G222" s="41" t="s">
        <v>74</v>
      </c>
      <c r="H222" s="34">
        <v>1.0</v>
      </c>
      <c r="I222" s="33">
        <v>0.0</v>
      </c>
      <c r="J222" s="34">
        <v>0.0</v>
      </c>
      <c r="K222" s="34">
        <v>1.0</v>
      </c>
      <c r="L222" s="34">
        <v>0.0</v>
      </c>
      <c r="M222" s="30">
        <f t="shared" si="3"/>
        <v>1</v>
      </c>
      <c r="N222" s="33" t="s">
        <v>88</v>
      </c>
      <c r="O222" s="30" t="str">
        <f t="shared" si="4"/>
        <v>เพียงพอ</v>
      </c>
      <c r="P222" s="33" t="s">
        <v>556</v>
      </c>
    </row>
    <row r="223" ht="47.25" customHeight="1">
      <c r="A223" s="30" t="str">
        <f t="shared" si="1"/>
        <v/>
      </c>
      <c r="B223" s="30" t="s">
        <v>159</v>
      </c>
      <c r="C223" s="32" t="str">
        <f t="shared" si="2"/>
        <v/>
      </c>
      <c r="D223" s="33" t="s">
        <v>580</v>
      </c>
      <c r="E223" s="30" t="s">
        <v>581</v>
      </c>
      <c r="F223" s="33" t="s">
        <v>81</v>
      </c>
      <c r="G223" s="30" t="s">
        <v>582</v>
      </c>
      <c r="H223" s="30">
        <v>1.0</v>
      </c>
      <c r="I223" s="33">
        <v>0.0</v>
      </c>
      <c r="J223" s="30">
        <v>0.0</v>
      </c>
      <c r="K223" s="30">
        <v>1.0</v>
      </c>
      <c r="L223" s="30">
        <v>0.0</v>
      </c>
      <c r="M223" s="30">
        <f t="shared" si="3"/>
        <v>1</v>
      </c>
      <c r="N223" s="30" t="s">
        <v>88</v>
      </c>
      <c r="O223" s="30" t="str">
        <f t="shared" si="4"/>
        <v>เพียงพอ</v>
      </c>
      <c r="P223" s="30" t="s">
        <v>556</v>
      </c>
    </row>
    <row r="224" ht="47.25" customHeight="1">
      <c r="A224" s="30" t="str">
        <f t="shared" si="1"/>
        <v/>
      </c>
      <c r="B224" s="35">
        <v>46315.485439814816</v>
      </c>
      <c r="C224" s="32" t="str">
        <f t="shared" si="2"/>
        <v/>
      </c>
      <c r="D224" s="33" t="s">
        <v>583</v>
      </c>
      <c r="E224" s="33" t="s">
        <v>584</v>
      </c>
      <c r="F224" s="33" t="s">
        <v>81</v>
      </c>
      <c r="G224" s="33" t="s">
        <v>82</v>
      </c>
      <c r="H224" s="34">
        <v>1.0</v>
      </c>
      <c r="I224" s="33">
        <v>0.0</v>
      </c>
      <c r="J224" s="34">
        <v>0.0</v>
      </c>
      <c r="K224" s="34">
        <v>1.0</v>
      </c>
      <c r="L224" s="34">
        <v>0.0</v>
      </c>
      <c r="M224" s="30">
        <f t="shared" si="3"/>
        <v>1</v>
      </c>
      <c r="N224" s="33" t="s">
        <v>88</v>
      </c>
      <c r="O224" s="30" t="str">
        <f t="shared" si="4"/>
        <v>เพียงพอ</v>
      </c>
      <c r="P224" s="33" t="s">
        <v>556</v>
      </c>
    </row>
    <row r="225" ht="47.25" customHeight="1">
      <c r="A225" s="30" t="str">
        <f t="shared" si="1"/>
        <v/>
      </c>
      <c r="B225" s="30" t="s">
        <v>159</v>
      </c>
      <c r="C225" s="32" t="str">
        <f t="shared" si="2"/>
        <v/>
      </c>
      <c r="D225" s="33" t="s">
        <v>585</v>
      </c>
      <c r="E225" s="30" t="s">
        <v>91</v>
      </c>
      <c r="F225" s="33" t="s">
        <v>81</v>
      </c>
      <c r="G225" s="30" t="s">
        <v>82</v>
      </c>
      <c r="H225" s="30">
        <v>5.0</v>
      </c>
      <c r="I225" s="33">
        <v>0.0</v>
      </c>
      <c r="J225" s="30">
        <v>0.0</v>
      </c>
      <c r="K225" s="30">
        <v>5.0</v>
      </c>
      <c r="L225" s="30">
        <v>0.0</v>
      </c>
      <c r="M225" s="30">
        <f t="shared" si="3"/>
        <v>5</v>
      </c>
      <c r="N225" s="30" t="s">
        <v>88</v>
      </c>
      <c r="O225" s="30" t="str">
        <f t="shared" si="4"/>
        <v>เพียงพอ</v>
      </c>
      <c r="P225" s="30" t="s">
        <v>556</v>
      </c>
    </row>
    <row r="226" ht="47.25" customHeight="1">
      <c r="A226" s="30" t="str">
        <f t="shared" si="1"/>
        <v/>
      </c>
      <c r="B226" s="35">
        <v>46315.451736111114</v>
      </c>
      <c r="C226" s="32" t="str">
        <f t="shared" si="2"/>
        <v/>
      </c>
      <c r="D226" s="33" t="s">
        <v>586</v>
      </c>
      <c r="E226" s="33" t="s">
        <v>587</v>
      </c>
      <c r="F226" s="33" t="s">
        <v>402</v>
      </c>
      <c r="G226" s="33" t="s">
        <v>588</v>
      </c>
      <c r="H226" s="34">
        <v>1.0</v>
      </c>
      <c r="I226" s="33">
        <v>0.0</v>
      </c>
      <c r="J226" s="34">
        <v>0.0</v>
      </c>
      <c r="K226" s="34">
        <v>1.0</v>
      </c>
      <c r="L226" s="34">
        <v>0.0</v>
      </c>
      <c r="M226" s="30">
        <f t="shared" si="3"/>
        <v>1</v>
      </c>
      <c r="N226" s="33" t="s">
        <v>88</v>
      </c>
      <c r="O226" s="30" t="str">
        <f t="shared" si="4"/>
        <v>เพียงพอ</v>
      </c>
      <c r="P226" s="33" t="s">
        <v>589</v>
      </c>
    </row>
    <row r="227" ht="47.25" customHeight="1">
      <c r="A227" s="30" t="str">
        <f t="shared" si="1"/>
        <v/>
      </c>
      <c r="B227" s="30" t="s">
        <v>159</v>
      </c>
      <c r="C227" s="32" t="str">
        <f t="shared" si="2"/>
        <v/>
      </c>
      <c r="D227" s="33" t="s">
        <v>590</v>
      </c>
      <c r="E227" s="30" t="s">
        <v>591</v>
      </c>
      <c r="F227" s="33" t="s">
        <v>402</v>
      </c>
      <c r="G227" s="30" t="s">
        <v>588</v>
      </c>
      <c r="H227" s="30">
        <v>1.0</v>
      </c>
      <c r="I227" s="33">
        <v>0.0</v>
      </c>
      <c r="J227" s="30">
        <v>0.0</v>
      </c>
      <c r="K227" s="30">
        <v>1.0</v>
      </c>
      <c r="L227" s="30">
        <v>0.0</v>
      </c>
      <c r="M227" s="30">
        <f t="shared" si="3"/>
        <v>1</v>
      </c>
      <c r="N227" s="30" t="s">
        <v>88</v>
      </c>
      <c r="O227" s="30" t="str">
        <f t="shared" si="4"/>
        <v>เพียงพอ</v>
      </c>
      <c r="P227" s="30" t="s">
        <v>592</v>
      </c>
    </row>
    <row r="228" ht="47.25" customHeight="1">
      <c r="A228" s="30" t="str">
        <f t="shared" si="1"/>
        <v/>
      </c>
      <c r="B228" s="30" t="s">
        <v>159</v>
      </c>
      <c r="C228" s="32" t="str">
        <f t="shared" si="2"/>
        <v/>
      </c>
      <c r="D228" s="33" t="s">
        <v>593</v>
      </c>
      <c r="E228" s="30" t="s">
        <v>594</v>
      </c>
      <c r="F228" s="33" t="s">
        <v>402</v>
      </c>
      <c r="G228" s="30" t="s">
        <v>588</v>
      </c>
      <c r="H228" s="30">
        <v>1.0</v>
      </c>
      <c r="I228" s="33">
        <v>0.0</v>
      </c>
      <c r="J228" s="30">
        <v>0.0</v>
      </c>
      <c r="K228" s="30">
        <v>1.0</v>
      </c>
      <c r="L228" s="30">
        <v>0.0</v>
      </c>
      <c r="M228" s="30">
        <f t="shared" si="3"/>
        <v>1</v>
      </c>
      <c r="N228" s="30" t="s">
        <v>88</v>
      </c>
      <c r="O228" s="30" t="str">
        <f t="shared" si="4"/>
        <v>เพียงพอ</v>
      </c>
      <c r="P228" s="30" t="s">
        <v>595</v>
      </c>
    </row>
    <row r="229" ht="47.25" customHeight="1">
      <c r="A229" s="30" t="str">
        <f t="shared" si="1"/>
        <v/>
      </c>
      <c r="B229" s="30" t="s">
        <v>159</v>
      </c>
      <c r="C229" s="32" t="str">
        <f t="shared" si="2"/>
        <v/>
      </c>
      <c r="D229" s="33" t="s">
        <v>596</v>
      </c>
      <c r="E229" s="30" t="s">
        <v>597</v>
      </c>
      <c r="F229" s="33" t="s">
        <v>402</v>
      </c>
      <c r="G229" s="30" t="s">
        <v>588</v>
      </c>
      <c r="H229" s="30">
        <v>1.0</v>
      </c>
      <c r="I229" s="33">
        <v>0.0</v>
      </c>
      <c r="J229" s="30">
        <v>0.0</v>
      </c>
      <c r="K229" s="30">
        <v>1.0</v>
      </c>
      <c r="L229" s="30">
        <v>0.0</v>
      </c>
      <c r="M229" s="30">
        <f t="shared" si="3"/>
        <v>1</v>
      </c>
      <c r="N229" s="30" t="s">
        <v>88</v>
      </c>
      <c r="O229" s="30" t="str">
        <f t="shared" si="4"/>
        <v>เพียงพอ</v>
      </c>
      <c r="P229" s="30" t="s">
        <v>598</v>
      </c>
    </row>
    <row r="230" ht="47.25" customHeight="1">
      <c r="A230" s="30" t="str">
        <f t="shared" si="1"/>
        <v/>
      </c>
      <c r="B230" s="30" t="s">
        <v>159</v>
      </c>
      <c r="C230" s="32" t="str">
        <f t="shared" si="2"/>
        <v/>
      </c>
      <c r="D230" s="33" t="s">
        <v>599</v>
      </c>
      <c r="E230" s="30" t="s">
        <v>600</v>
      </c>
      <c r="F230" s="33" t="s">
        <v>402</v>
      </c>
      <c r="G230" s="30" t="s">
        <v>588</v>
      </c>
      <c r="H230" s="30">
        <v>1.0</v>
      </c>
      <c r="I230" s="33">
        <v>0.0</v>
      </c>
      <c r="J230" s="30">
        <v>0.0</v>
      </c>
      <c r="K230" s="30">
        <v>1.0</v>
      </c>
      <c r="L230" s="30">
        <v>0.0</v>
      </c>
      <c r="M230" s="30">
        <f t="shared" si="3"/>
        <v>1</v>
      </c>
      <c r="N230" s="30" t="s">
        <v>88</v>
      </c>
      <c r="O230" s="30" t="str">
        <f t="shared" si="4"/>
        <v>เพียงพอ</v>
      </c>
      <c r="P230" s="30" t="s">
        <v>601</v>
      </c>
    </row>
    <row r="231" ht="47.25" customHeight="1">
      <c r="A231" s="30" t="str">
        <f t="shared" si="1"/>
        <v/>
      </c>
      <c r="B231" s="30" t="s">
        <v>159</v>
      </c>
      <c r="C231" s="32" t="str">
        <f t="shared" si="2"/>
        <v/>
      </c>
      <c r="D231" s="33" t="s">
        <v>602</v>
      </c>
      <c r="E231" s="30" t="s">
        <v>603</v>
      </c>
      <c r="F231" s="33" t="s">
        <v>402</v>
      </c>
      <c r="G231" s="30" t="s">
        <v>588</v>
      </c>
      <c r="H231" s="30">
        <v>1.0</v>
      </c>
      <c r="I231" s="33">
        <v>0.0</v>
      </c>
      <c r="J231" s="30">
        <v>0.0</v>
      </c>
      <c r="K231" s="30">
        <v>1.0</v>
      </c>
      <c r="L231" s="30">
        <v>0.0</v>
      </c>
      <c r="M231" s="30">
        <f t="shared" si="3"/>
        <v>1</v>
      </c>
      <c r="N231" s="30" t="s">
        <v>88</v>
      </c>
      <c r="O231" s="30" t="str">
        <f t="shared" si="4"/>
        <v>เพียงพอ</v>
      </c>
      <c r="P231" s="30" t="s">
        <v>604</v>
      </c>
    </row>
    <row r="232" ht="47.25" customHeight="1">
      <c r="A232" s="30" t="str">
        <f t="shared" si="1"/>
        <v/>
      </c>
      <c r="B232" s="30" t="s">
        <v>159</v>
      </c>
      <c r="C232" s="32" t="str">
        <f t="shared" si="2"/>
        <v/>
      </c>
      <c r="D232" s="33" t="s">
        <v>605</v>
      </c>
      <c r="E232" s="30" t="s">
        <v>606</v>
      </c>
      <c r="F232" s="33" t="s">
        <v>402</v>
      </c>
      <c r="G232" s="30" t="s">
        <v>588</v>
      </c>
      <c r="H232" s="30">
        <v>1.0</v>
      </c>
      <c r="I232" s="33">
        <v>0.0</v>
      </c>
      <c r="J232" s="30">
        <v>0.0</v>
      </c>
      <c r="K232" s="30">
        <v>1.0</v>
      </c>
      <c r="L232" s="30">
        <v>0.0</v>
      </c>
      <c r="M232" s="30">
        <f t="shared" si="3"/>
        <v>1</v>
      </c>
      <c r="N232" s="30" t="s">
        <v>88</v>
      </c>
      <c r="O232" s="30" t="str">
        <f t="shared" si="4"/>
        <v>เพียงพอ</v>
      </c>
      <c r="P232" s="30" t="s">
        <v>607</v>
      </c>
    </row>
    <row r="233" ht="47.25" customHeight="1">
      <c r="A233" s="30" t="str">
        <f t="shared" si="1"/>
        <v/>
      </c>
      <c r="B233" s="30" t="s">
        <v>159</v>
      </c>
      <c r="C233" s="32" t="str">
        <f t="shared" si="2"/>
        <v/>
      </c>
      <c r="D233" s="33" t="s">
        <v>608</v>
      </c>
      <c r="E233" s="30" t="s">
        <v>609</v>
      </c>
      <c r="F233" s="33" t="s">
        <v>402</v>
      </c>
      <c r="G233" s="30" t="s">
        <v>588</v>
      </c>
      <c r="H233" s="30">
        <v>1.0</v>
      </c>
      <c r="I233" s="33">
        <v>0.0</v>
      </c>
      <c r="J233" s="30">
        <v>0.0</v>
      </c>
      <c r="K233" s="30">
        <v>1.0</v>
      </c>
      <c r="L233" s="30">
        <v>0.0</v>
      </c>
      <c r="M233" s="30">
        <f t="shared" si="3"/>
        <v>1</v>
      </c>
      <c r="N233" s="30" t="s">
        <v>88</v>
      </c>
      <c r="O233" s="30" t="str">
        <f t="shared" si="4"/>
        <v>เพียงพอ</v>
      </c>
      <c r="P233" s="30" t="s">
        <v>610</v>
      </c>
    </row>
    <row r="234" ht="47.25" customHeight="1">
      <c r="A234" s="30" t="str">
        <f t="shared" si="1"/>
        <v/>
      </c>
      <c r="B234" s="30" t="s">
        <v>159</v>
      </c>
      <c r="C234" s="32" t="str">
        <f t="shared" si="2"/>
        <v/>
      </c>
      <c r="D234" s="33" t="s">
        <v>611</v>
      </c>
      <c r="E234" s="30" t="s">
        <v>612</v>
      </c>
      <c r="F234" s="33" t="s">
        <v>402</v>
      </c>
      <c r="G234" s="30" t="s">
        <v>588</v>
      </c>
      <c r="H234" s="30">
        <v>1.0</v>
      </c>
      <c r="I234" s="33">
        <v>0.0</v>
      </c>
      <c r="J234" s="30">
        <v>0.0</v>
      </c>
      <c r="K234" s="30">
        <v>1.0</v>
      </c>
      <c r="L234" s="30">
        <v>0.0</v>
      </c>
      <c r="M234" s="30">
        <f t="shared" si="3"/>
        <v>1</v>
      </c>
      <c r="N234" s="30" t="s">
        <v>88</v>
      </c>
      <c r="O234" s="30" t="str">
        <f t="shared" si="4"/>
        <v>เพียงพอ</v>
      </c>
      <c r="P234" s="30" t="s">
        <v>613</v>
      </c>
    </row>
    <row r="235" ht="47.25" customHeight="1">
      <c r="A235" s="30" t="str">
        <f t="shared" si="1"/>
        <v/>
      </c>
      <c r="B235" s="30" t="s">
        <v>159</v>
      </c>
      <c r="C235" s="32" t="str">
        <f t="shared" si="2"/>
        <v/>
      </c>
      <c r="D235" s="33" t="s">
        <v>614</v>
      </c>
      <c r="E235" s="30" t="s">
        <v>615</v>
      </c>
      <c r="F235" s="33" t="s">
        <v>402</v>
      </c>
      <c r="G235" s="30" t="s">
        <v>588</v>
      </c>
      <c r="H235" s="30">
        <v>1.0</v>
      </c>
      <c r="I235" s="33">
        <v>0.0</v>
      </c>
      <c r="J235" s="30">
        <v>0.0</v>
      </c>
      <c r="K235" s="30">
        <v>1.0</v>
      </c>
      <c r="L235" s="30">
        <v>0.0</v>
      </c>
      <c r="M235" s="30">
        <f t="shared" si="3"/>
        <v>1</v>
      </c>
      <c r="N235" s="30" t="s">
        <v>88</v>
      </c>
      <c r="O235" s="30" t="str">
        <f t="shared" si="4"/>
        <v>เพียงพอ</v>
      </c>
      <c r="P235" s="30" t="s">
        <v>616</v>
      </c>
    </row>
    <row r="236" ht="47.25" customHeight="1">
      <c r="A236" s="30" t="str">
        <f t="shared" si="1"/>
        <v/>
      </c>
      <c r="B236" s="30" t="s">
        <v>159</v>
      </c>
      <c r="C236" s="32" t="str">
        <f t="shared" si="2"/>
        <v/>
      </c>
      <c r="D236" s="33" t="s">
        <v>617</v>
      </c>
      <c r="E236" s="30" t="s">
        <v>618</v>
      </c>
      <c r="F236" s="33" t="s">
        <v>402</v>
      </c>
      <c r="G236" s="30" t="s">
        <v>588</v>
      </c>
      <c r="H236" s="30">
        <v>1.0</v>
      </c>
      <c r="I236" s="33">
        <v>0.0</v>
      </c>
      <c r="J236" s="30">
        <v>0.0</v>
      </c>
      <c r="K236" s="30">
        <v>1.0</v>
      </c>
      <c r="L236" s="30">
        <v>0.0</v>
      </c>
      <c r="M236" s="30">
        <f t="shared" si="3"/>
        <v>1</v>
      </c>
      <c r="N236" s="30" t="s">
        <v>88</v>
      </c>
      <c r="O236" s="30" t="str">
        <f t="shared" si="4"/>
        <v>เพียงพอ</v>
      </c>
      <c r="P236" s="30" t="s">
        <v>619</v>
      </c>
    </row>
    <row r="237" ht="47.25" customHeight="1">
      <c r="A237" s="30" t="str">
        <f t="shared" si="1"/>
        <v/>
      </c>
      <c r="B237" s="30" t="s">
        <v>159</v>
      </c>
      <c r="C237" s="32" t="str">
        <f t="shared" si="2"/>
        <v/>
      </c>
      <c r="D237" s="33" t="s">
        <v>620</v>
      </c>
      <c r="E237" s="30" t="s">
        <v>621</v>
      </c>
      <c r="F237" s="33" t="s">
        <v>402</v>
      </c>
      <c r="G237" s="30" t="s">
        <v>588</v>
      </c>
      <c r="H237" s="30">
        <v>1.0</v>
      </c>
      <c r="I237" s="33">
        <v>0.0</v>
      </c>
      <c r="J237" s="30">
        <v>0.0</v>
      </c>
      <c r="K237" s="30">
        <v>1.0</v>
      </c>
      <c r="L237" s="30">
        <v>0.0</v>
      </c>
      <c r="M237" s="30">
        <f t="shared" si="3"/>
        <v>1</v>
      </c>
      <c r="N237" s="30" t="s">
        <v>88</v>
      </c>
      <c r="O237" s="30" t="str">
        <f t="shared" si="4"/>
        <v>เพียงพอ</v>
      </c>
      <c r="P237" s="30" t="s">
        <v>622</v>
      </c>
    </row>
    <row r="238" ht="47.25" customHeight="1">
      <c r="A238" s="30" t="str">
        <f t="shared" si="1"/>
        <v/>
      </c>
      <c r="B238" s="31">
        <v>46315.56972222222</v>
      </c>
      <c r="C238" s="32" t="str">
        <f t="shared" si="2"/>
        <v/>
      </c>
      <c r="D238" s="33" t="s">
        <v>623</v>
      </c>
      <c r="E238" s="33" t="s">
        <v>624</v>
      </c>
      <c r="F238" s="33" t="s">
        <v>402</v>
      </c>
      <c r="G238" s="33" t="s">
        <v>588</v>
      </c>
      <c r="H238" s="34">
        <v>1.0</v>
      </c>
      <c r="I238" s="33">
        <v>0.0</v>
      </c>
      <c r="J238" s="34">
        <v>0.0</v>
      </c>
      <c r="K238" s="34">
        <v>1.0</v>
      </c>
      <c r="L238" s="42">
        <v>0.0</v>
      </c>
      <c r="M238" s="30">
        <f t="shared" si="3"/>
        <v>1</v>
      </c>
      <c r="N238" s="42" t="s">
        <v>88</v>
      </c>
      <c r="O238" s="30" t="str">
        <f t="shared" si="4"/>
        <v>เพียงพอ</v>
      </c>
      <c r="P238" s="33" t="s">
        <v>625</v>
      </c>
    </row>
    <row r="239" ht="47.25" customHeight="1">
      <c r="A239" s="30" t="str">
        <f t="shared" si="1"/>
        <v/>
      </c>
      <c r="B239" s="31">
        <v>46315.66233796296</v>
      </c>
      <c r="C239" s="32" t="str">
        <f t="shared" si="2"/>
        <v/>
      </c>
      <c r="D239" s="33" t="s">
        <v>626</v>
      </c>
      <c r="E239" s="33" t="s">
        <v>627</v>
      </c>
      <c r="F239" s="33" t="s">
        <v>81</v>
      </c>
      <c r="G239" s="33" t="s">
        <v>514</v>
      </c>
      <c r="H239" s="33">
        <v>2.0</v>
      </c>
      <c r="I239" s="33">
        <v>0.0</v>
      </c>
      <c r="J239" s="34">
        <v>0.0</v>
      </c>
      <c r="K239" s="34">
        <v>1.0</v>
      </c>
      <c r="L239" s="34">
        <v>0.0</v>
      </c>
      <c r="M239" s="30">
        <f t="shared" si="3"/>
        <v>1</v>
      </c>
      <c r="N239" s="33" t="s">
        <v>88</v>
      </c>
      <c r="O239" s="30" t="str">
        <f t="shared" si="4"/>
        <v>เพียงพอ</v>
      </c>
      <c r="P239" s="30"/>
    </row>
    <row r="240" ht="47.25" customHeight="1">
      <c r="A240" s="30" t="str">
        <f t="shared" si="1"/>
        <v/>
      </c>
      <c r="B240" s="31">
        <v>46305.220257175926</v>
      </c>
      <c r="C240" s="32" t="str">
        <f t="shared" si="2"/>
        <v/>
      </c>
      <c r="D240" s="33" t="s">
        <v>628</v>
      </c>
      <c r="E240" s="33" t="s">
        <v>629</v>
      </c>
      <c r="F240" s="33" t="s">
        <v>81</v>
      </c>
      <c r="G240" s="33" t="s">
        <v>82</v>
      </c>
      <c r="H240" s="33">
        <v>2.0</v>
      </c>
      <c r="I240" s="33">
        <v>0.0</v>
      </c>
      <c r="J240" s="34">
        <v>0.0</v>
      </c>
      <c r="K240" s="34">
        <v>4.0</v>
      </c>
      <c r="L240" s="34">
        <v>0.0</v>
      </c>
      <c r="M240" s="30">
        <f t="shared" si="3"/>
        <v>4</v>
      </c>
      <c r="N240" s="33" t="s">
        <v>88</v>
      </c>
      <c r="O240" s="30" t="str">
        <f t="shared" si="4"/>
        <v>เพียงพอ</v>
      </c>
      <c r="P240" s="30"/>
    </row>
    <row r="241" ht="47.25" customHeight="1">
      <c r="A241" s="30" t="str">
        <f t="shared" si="1"/>
        <v/>
      </c>
      <c r="B241" s="31">
        <v>46307.2094040625</v>
      </c>
      <c r="C241" s="32" t="str">
        <f t="shared" si="2"/>
        <v/>
      </c>
      <c r="D241" s="33" t="s">
        <v>630</v>
      </c>
      <c r="E241" s="33" t="s">
        <v>631</v>
      </c>
      <c r="F241" s="33" t="s">
        <v>81</v>
      </c>
      <c r="G241" s="33" t="s">
        <v>82</v>
      </c>
      <c r="H241" s="33">
        <v>1.0</v>
      </c>
      <c r="I241" s="33">
        <v>0.0</v>
      </c>
      <c r="J241" s="34">
        <v>690.0</v>
      </c>
      <c r="K241" s="34">
        <v>4.0</v>
      </c>
      <c r="L241" s="34">
        <v>0.0</v>
      </c>
      <c r="M241" s="30">
        <f t="shared" si="3"/>
        <v>4</v>
      </c>
      <c r="N241" s="33" t="s">
        <v>88</v>
      </c>
      <c r="O241" s="30" t="str">
        <f t="shared" si="4"/>
        <v>เพียงพอ</v>
      </c>
      <c r="P241" s="30"/>
    </row>
    <row r="242" ht="47.25" customHeight="1">
      <c r="A242" s="30" t="str">
        <f t="shared" ref="A242:A247" si="5">IF($D242="","",IMAGE("https://api.qrserver.com/v1/create-qr-code/?size=150x150&amp;data="&amp;ENCODEURL("https://script.google.com/macros/s/AKfycbxrk7oFoLSWSeAHj1H83FvlYWK_XXZmpPZ3zJYHzPTeDONa1CP2wXeWsuIrh9Kf11i7/exec?code="&amp;$D242)))</f>
        <v/>
      </c>
      <c r="B242" s="31">
        <v>46315.41449074074</v>
      </c>
      <c r="C242" s="32" t="str">
        <f t="shared" si="2"/>
        <v/>
      </c>
      <c r="D242" s="33" t="s">
        <v>632</v>
      </c>
      <c r="E242" s="33" t="s">
        <v>633</v>
      </c>
      <c r="F242" s="33" t="s">
        <v>294</v>
      </c>
      <c r="G242" s="33" t="s">
        <v>359</v>
      </c>
      <c r="H242" s="33">
        <v>1.0</v>
      </c>
      <c r="I242" s="33">
        <v>0.0</v>
      </c>
      <c r="J242" s="34">
        <v>0.0</v>
      </c>
      <c r="K242" s="34">
        <v>1.0</v>
      </c>
      <c r="L242" s="34">
        <v>0.0</v>
      </c>
      <c r="M242" s="34">
        <v>1.0</v>
      </c>
      <c r="N242" s="33" t="s">
        <v>88</v>
      </c>
      <c r="O242" s="33" t="s">
        <v>84</v>
      </c>
      <c r="P242" s="33" t="s">
        <v>634</v>
      </c>
    </row>
    <row r="243" ht="47.25" customHeight="1">
      <c r="A243" s="30" t="str">
        <f t="shared" si="5"/>
        <v/>
      </c>
      <c r="B243" s="31">
        <v>46315.415914351855</v>
      </c>
      <c r="C243" s="32" t="str">
        <f t="shared" si="2"/>
        <v/>
      </c>
      <c r="D243" s="33" t="s">
        <v>635</v>
      </c>
      <c r="E243" s="33" t="s">
        <v>636</v>
      </c>
      <c r="F243" s="33" t="s">
        <v>294</v>
      </c>
      <c r="G243" s="33" t="s">
        <v>359</v>
      </c>
      <c r="H243" s="33">
        <v>1.0</v>
      </c>
      <c r="I243" s="33">
        <v>0.0</v>
      </c>
      <c r="J243" s="34">
        <v>0.0</v>
      </c>
      <c r="K243" s="34">
        <v>2.0</v>
      </c>
      <c r="L243" s="34">
        <v>0.0</v>
      </c>
      <c r="M243" s="34">
        <v>2.0</v>
      </c>
      <c r="N243" s="33" t="s">
        <v>88</v>
      </c>
      <c r="O243" s="33" t="s">
        <v>84</v>
      </c>
      <c r="P243" s="33"/>
    </row>
    <row r="244" ht="47.25" customHeight="1">
      <c r="A244" s="30" t="str">
        <f t="shared" si="5"/>
        <v/>
      </c>
      <c r="B244" s="31">
        <v>46315.420439814814</v>
      </c>
      <c r="C244" s="32" t="str">
        <f t="shared" si="2"/>
        <v/>
      </c>
      <c r="D244" s="33" t="s">
        <v>637</v>
      </c>
      <c r="E244" s="33" t="s">
        <v>638</v>
      </c>
      <c r="F244" s="33" t="s">
        <v>294</v>
      </c>
      <c r="G244" s="33" t="s">
        <v>359</v>
      </c>
      <c r="H244" s="33">
        <v>1.0</v>
      </c>
      <c r="I244" s="33">
        <v>0.0</v>
      </c>
      <c r="J244" s="34">
        <v>0.0</v>
      </c>
      <c r="K244" s="34">
        <v>1.0</v>
      </c>
      <c r="L244" s="34">
        <v>0.0</v>
      </c>
      <c r="M244" s="34">
        <v>1.0</v>
      </c>
      <c r="N244" s="33" t="s">
        <v>88</v>
      </c>
      <c r="O244" s="33" t="s">
        <v>84</v>
      </c>
      <c r="P244" s="33" t="s">
        <v>639</v>
      </c>
    </row>
    <row r="245" ht="47.25" customHeight="1">
      <c r="A245" s="30" t="str">
        <f t="shared" si="5"/>
        <v/>
      </c>
      <c r="B245" s="31">
        <v>46315.66122685185</v>
      </c>
      <c r="C245" s="32" t="str">
        <f t="shared" si="2"/>
        <v/>
      </c>
      <c r="D245" s="33" t="s">
        <v>640</v>
      </c>
      <c r="E245" s="33" t="s">
        <v>641</v>
      </c>
      <c r="F245" s="33" t="s">
        <v>81</v>
      </c>
      <c r="G245" s="33" t="s">
        <v>82</v>
      </c>
      <c r="H245" s="33">
        <v>0.0</v>
      </c>
      <c r="I245" s="33">
        <v>0.0</v>
      </c>
      <c r="J245" s="34">
        <v>0.0</v>
      </c>
      <c r="K245" s="34">
        <v>1.0</v>
      </c>
      <c r="L245" s="34">
        <v>0.0</v>
      </c>
      <c r="M245" s="34">
        <v>1.0</v>
      </c>
      <c r="N245" s="33" t="s">
        <v>88</v>
      </c>
      <c r="O245" s="33" t="s">
        <v>84</v>
      </c>
      <c r="P245" s="33"/>
    </row>
    <row r="246" ht="47.25" customHeight="1">
      <c r="A246" s="30" t="str">
        <f t="shared" si="5"/>
        <v/>
      </c>
      <c r="B246" s="31">
        <v>46315.68740740741</v>
      </c>
      <c r="C246" s="32" t="str">
        <f t="shared" si="2"/>
        <v/>
      </c>
      <c r="D246" s="33" t="s">
        <v>642</v>
      </c>
      <c r="E246" s="33" t="s">
        <v>643</v>
      </c>
      <c r="F246" s="33"/>
      <c r="G246" s="33"/>
      <c r="H246" s="33">
        <v>0.0</v>
      </c>
      <c r="I246" s="33">
        <v>0.0</v>
      </c>
      <c r="J246" s="34">
        <v>0.0</v>
      </c>
      <c r="K246" s="34">
        <v>1.0</v>
      </c>
      <c r="L246" s="34">
        <v>0.0</v>
      </c>
      <c r="M246" s="34">
        <v>1.0</v>
      </c>
      <c r="N246" s="33" t="s">
        <v>88</v>
      </c>
      <c r="O246" s="33" t="s">
        <v>84</v>
      </c>
      <c r="P246" s="33" t="s">
        <v>86</v>
      </c>
    </row>
    <row r="247" ht="47.25" customHeight="1">
      <c r="A247" s="47" t="str">
        <f t="shared" si="5"/>
        <v/>
      </c>
      <c r="B247" s="48">
        <v>46322.69530092592</v>
      </c>
      <c r="C247" s="32" t="str">
        <f t="shared" si="2"/>
        <v/>
      </c>
      <c r="D247" s="33" t="s">
        <v>644</v>
      </c>
      <c r="E247" s="49" t="s">
        <v>645</v>
      </c>
      <c r="F247" s="49" t="s">
        <v>81</v>
      </c>
      <c r="G247" s="49" t="s">
        <v>82</v>
      </c>
      <c r="H247" s="49">
        <v>0.0</v>
      </c>
      <c r="I247" s="49">
        <v>0.0</v>
      </c>
      <c r="J247" s="50">
        <v>0.0</v>
      </c>
      <c r="K247" s="50">
        <v>1.0</v>
      </c>
      <c r="L247" s="50">
        <v>0.0</v>
      </c>
      <c r="M247" s="50">
        <v>1.0</v>
      </c>
      <c r="N247" s="49" t="s">
        <v>88</v>
      </c>
      <c r="O247" s="49" t="s">
        <v>84</v>
      </c>
      <c r="P247" s="49"/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</cols>
  <sheetData>
    <row r="1">
      <c r="A1" s="3" t="s">
        <v>1</v>
      </c>
    </row>
    <row r="2">
      <c r="A2" s="6" t="s">
        <v>5</v>
      </c>
    </row>
    <row r="3">
      <c r="A3" s="6" t="s">
        <v>8</v>
      </c>
    </row>
    <row r="4">
      <c r="A4" s="6" t="s">
        <v>11</v>
      </c>
    </row>
    <row r="5">
      <c r="A5" s="6" t="s">
        <v>12</v>
      </c>
    </row>
    <row r="6">
      <c r="A6" s="6" t="s">
        <v>15</v>
      </c>
    </row>
    <row r="7">
      <c r="A7" s="6" t="s">
        <v>17</v>
      </c>
    </row>
    <row r="8">
      <c r="A8" s="6" t="s">
        <v>21</v>
      </c>
    </row>
    <row r="9">
      <c r="A9" s="6" t="s">
        <v>22</v>
      </c>
    </row>
    <row r="10">
      <c r="A10" s="6" t="s">
        <v>27</v>
      </c>
    </row>
    <row r="11">
      <c r="A11" s="6" t="s">
        <v>29</v>
      </c>
    </row>
    <row r="12">
      <c r="A12" s="6" t="s">
        <v>32</v>
      </c>
    </row>
    <row r="13">
      <c r="A13" s="6" t="s">
        <v>34</v>
      </c>
    </row>
    <row r="14">
      <c r="A14" s="6" t="s">
        <v>36</v>
      </c>
    </row>
    <row r="15">
      <c r="A15" s="6" t="s">
        <v>38</v>
      </c>
    </row>
    <row r="16">
      <c r="A16" s="6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4" width="19.71"/>
    <col customWidth="1" min="5" max="5" width="126.43"/>
  </cols>
  <sheetData>
    <row r="1">
      <c r="A1" s="7" t="s">
        <v>6</v>
      </c>
      <c r="B1" s="8" t="s">
        <v>18</v>
      </c>
      <c r="C1" s="7" t="s">
        <v>26</v>
      </c>
      <c r="D1" s="8" t="s">
        <v>30</v>
      </c>
      <c r="E1" s="7" t="s">
        <v>46</v>
      </c>
    </row>
    <row r="2">
      <c r="A2" s="13">
        <v>1.0</v>
      </c>
      <c r="B2" s="15">
        <v>46324.69006944444</v>
      </c>
      <c r="C2" s="13" t="s">
        <v>48</v>
      </c>
      <c r="D2" s="17" t="s">
        <v>49</v>
      </c>
      <c r="E2" s="13" t="s">
        <v>50</v>
      </c>
    </row>
    <row r="3">
      <c r="A3" s="13">
        <v>2.0</v>
      </c>
      <c r="B3" s="15">
        <v>46324.69039351852</v>
      </c>
      <c r="C3" s="13" t="s">
        <v>51</v>
      </c>
      <c r="D3" s="17" t="s">
        <v>49</v>
      </c>
      <c r="E3" s="13" t="s">
        <v>52</v>
      </c>
    </row>
    <row r="4">
      <c r="A4" s="19"/>
      <c r="B4" s="15"/>
      <c r="C4" s="13"/>
      <c r="D4" s="17"/>
      <c r="E4" s="13"/>
    </row>
    <row r="5">
      <c r="A5" s="19"/>
      <c r="B5" s="15"/>
      <c r="C5" s="13"/>
      <c r="D5" s="17"/>
      <c r="E5" s="13"/>
    </row>
    <row r="6">
      <c r="A6" s="19"/>
      <c r="B6" s="15"/>
      <c r="C6" s="13"/>
      <c r="D6" s="17"/>
      <c r="E6" s="13"/>
    </row>
    <row r="7">
      <c r="A7" s="19"/>
      <c r="B7" s="15"/>
      <c r="C7" s="13"/>
      <c r="D7" s="17"/>
      <c r="E7" s="13"/>
    </row>
    <row r="8">
      <c r="A8" s="19"/>
      <c r="B8" s="15"/>
      <c r="C8" s="13"/>
      <c r="D8" s="17"/>
      <c r="E8" s="13"/>
    </row>
    <row r="9">
      <c r="A9" s="19"/>
      <c r="B9" s="15"/>
      <c r="C9" s="13"/>
      <c r="D9" s="17"/>
      <c r="E9" s="13"/>
    </row>
    <row r="10">
      <c r="A10" s="19"/>
      <c r="B10" s="15"/>
      <c r="C10" s="13"/>
      <c r="D10" s="17"/>
      <c r="E10" s="13"/>
    </row>
    <row r="11">
      <c r="A11" s="19"/>
      <c r="B11" s="15"/>
      <c r="C11" s="13"/>
      <c r="D11" s="17"/>
      <c r="E11" s="13"/>
    </row>
    <row r="12">
      <c r="A12" s="19"/>
      <c r="B12" s="15"/>
      <c r="C12" s="13"/>
      <c r="D12" s="17"/>
      <c r="E12" s="13"/>
    </row>
    <row r="13">
      <c r="A13" s="19"/>
      <c r="B13" s="15"/>
      <c r="C13" s="13"/>
      <c r="D13" s="17"/>
      <c r="E13" s="13"/>
    </row>
    <row r="14">
      <c r="A14" s="19"/>
      <c r="B14" s="15"/>
      <c r="C14" s="13"/>
      <c r="D14" s="17"/>
      <c r="E14" s="13"/>
    </row>
    <row r="15">
      <c r="A15" s="19"/>
      <c r="B15" s="15"/>
      <c r="C15" s="13"/>
      <c r="D15" s="17"/>
      <c r="E15" s="13"/>
    </row>
    <row r="16">
      <c r="A16" s="19"/>
      <c r="B16" s="15"/>
      <c r="C16" s="13"/>
      <c r="D16" s="17"/>
      <c r="E16" s="13"/>
    </row>
    <row r="17">
      <c r="A17" s="19"/>
      <c r="B17" s="15"/>
      <c r="C17" s="13"/>
      <c r="D17" s="17"/>
      <c r="E17" s="13"/>
    </row>
    <row r="18">
      <c r="A18" s="19"/>
      <c r="B18" s="15"/>
      <c r="C18" s="13"/>
      <c r="D18" s="17"/>
      <c r="E18" s="13"/>
    </row>
    <row r="19">
      <c r="A19" s="19"/>
      <c r="B19" s="15"/>
      <c r="C19" s="13"/>
      <c r="D19" s="17"/>
      <c r="E19" s="13"/>
    </row>
    <row r="20">
      <c r="A20" s="19"/>
      <c r="B20" s="15"/>
      <c r="C20" s="13"/>
      <c r="D20" s="17"/>
      <c r="E20" s="13"/>
    </row>
    <row r="21">
      <c r="A21" s="19"/>
      <c r="B21" s="15"/>
      <c r="C21" s="13"/>
      <c r="D21" s="17"/>
      <c r="E21" s="13"/>
    </row>
    <row r="22">
      <c r="A22" s="19"/>
      <c r="B22" s="15"/>
      <c r="C22" s="13"/>
      <c r="D22" s="17"/>
      <c r="E22" s="13"/>
    </row>
    <row r="23">
      <c r="A23" s="19"/>
      <c r="B23" s="15"/>
      <c r="C23" s="13"/>
      <c r="D23" s="17"/>
      <c r="E23" s="13"/>
    </row>
    <row r="24">
      <c r="A24" s="19"/>
      <c r="B24" s="15"/>
      <c r="C24" s="13"/>
      <c r="D24" s="17"/>
      <c r="E24" s="13"/>
    </row>
    <row r="25">
      <c r="A25" s="19"/>
      <c r="B25" s="15"/>
      <c r="C25" s="13"/>
      <c r="D25" s="17"/>
      <c r="E25" s="13"/>
    </row>
    <row r="26">
      <c r="A26" s="19"/>
      <c r="B26" s="15"/>
      <c r="C26" s="13"/>
      <c r="D26" s="17"/>
      <c r="E26" s="13"/>
    </row>
    <row r="27">
      <c r="A27" s="19"/>
      <c r="B27" s="15"/>
      <c r="C27" s="13"/>
      <c r="D27" s="17"/>
      <c r="E27" s="13"/>
    </row>
    <row r="28">
      <c r="A28" s="19"/>
      <c r="B28" s="15"/>
      <c r="C28" s="13"/>
      <c r="D28" s="17"/>
      <c r="E28" s="13"/>
    </row>
    <row r="29">
      <c r="A29" s="19"/>
      <c r="B29" s="15"/>
      <c r="C29" s="13"/>
      <c r="D29" s="17"/>
      <c r="E29" s="13"/>
    </row>
    <row r="30">
      <c r="A30" s="19"/>
      <c r="B30" s="15"/>
      <c r="C30" s="13"/>
      <c r="D30" s="17"/>
      <c r="E30" s="13"/>
    </row>
    <row r="31">
      <c r="A31" s="19"/>
      <c r="B31" s="15"/>
      <c r="C31" s="13"/>
      <c r="D31" s="17"/>
      <c r="E31" s="13"/>
    </row>
    <row r="32">
      <c r="A32" s="19"/>
      <c r="B32" s="15"/>
      <c r="C32" s="13"/>
      <c r="D32" s="17"/>
      <c r="E32" s="13"/>
    </row>
    <row r="33">
      <c r="A33" s="19"/>
      <c r="B33" s="15"/>
      <c r="C33" s="13"/>
      <c r="D33" s="17"/>
      <c r="E33" s="13"/>
    </row>
    <row r="34">
      <c r="A34" s="19"/>
      <c r="B34" s="15"/>
      <c r="C34" s="13"/>
      <c r="D34" s="17"/>
      <c r="E34" s="13"/>
    </row>
    <row r="35">
      <c r="A35" s="19"/>
      <c r="B35" s="15"/>
      <c r="C35" s="13"/>
      <c r="D35" s="17"/>
      <c r="E35" s="13"/>
    </row>
    <row r="36">
      <c r="A36" s="19"/>
      <c r="B36" s="15"/>
      <c r="C36" s="13"/>
      <c r="D36" s="17"/>
      <c r="E36" s="13"/>
    </row>
    <row r="37">
      <c r="A37" s="19"/>
      <c r="B37" s="15"/>
      <c r="C37" s="13"/>
      <c r="D37" s="17"/>
      <c r="E37" s="13"/>
    </row>
    <row r="38">
      <c r="A38" s="19"/>
      <c r="B38" s="15"/>
      <c r="C38" s="13"/>
      <c r="D38" s="17"/>
      <c r="E38" s="13"/>
    </row>
    <row r="39">
      <c r="A39" s="19"/>
      <c r="B39" s="15"/>
      <c r="C39" s="13"/>
      <c r="D39" s="17"/>
      <c r="E39" s="13"/>
    </row>
    <row r="40">
      <c r="A40" s="19"/>
      <c r="B40" s="15"/>
      <c r="C40" s="13"/>
      <c r="D40" s="17"/>
      <c r="E40" s="13"/>
    </row>
    <row r="41">
      <c r="A41" s="19"/>
      <c r="B41" s="15"/>
      <c r="C41" s="13"/>
      <c r="D41" s="17"/>
      <c r="E41" s="13"/>
    </row>
    <row r="42">
      <c r="A42" s="19"/>
      <c r="B42" s="15"/>
      <c r="C42" s="13"/>
      <c r="D42" s="17"/>
      <c r="E42" s="13"/>
    </row>
    <row r="43">
      <c r="A43" s="19"/>
      <c r="B43" s="15"/>
      <c r="C43" s="13"/>
      <c r="D43" s="17"/>
      <c r="E43" s="13"/>
    </row>
    <row r="44">
      <c r="A44" s="19"/>
      <c r="B44" s="15"/>
      <c r="C44" s="13"/>
      <c r="D44" s="17"/>
      <c r="E44" s="13"/>
    </row>
    <row r="45">
      <c r="A45" s="19"/>
      <c r="B45" s="15"/>
      <c r="C45" s="13"/>
      <c r="D45" s="17"/>
      <c r="E45" s="13"/>
    </row>
    <row r="46">
      <c r="A46" s="19"/>
      <c r="B46" s="15"/>
      <c r="C46" s="13"/>
      <c r="D46" s="17"/>
      <c r="E46" s="13"/>
    </row>
    <row r="47">
      <c r="A47" s="19"/>
      <c r="B47" s="15"/>
      <c r="C47" s="13"/>
      <c r="D47" s="17"/>
      <c r="E47" s="13"/>
    </row>
    <row r="48">
      <c r="A48" s="19"/>
      <c r="B48" s="15"/>
      <c r="C48" s="13"/>
      <c r="D48" s="17"/>
      <c r="E48" s="13"/>
    </row>
    <row r="49">
      <c r="A49" s="19"/>
      <c r="B49" s="15"/>
      <c r="C49" s="13"/>
      <c r="D49" s="17"/>
      <c r="E49" s="13"/>
    </row>
    <row r="50">
      <c r="A50" s="19"/>
      <c r="B50" s="15"/>
      <c r="C50" s="13"/>
      <c r="D50" s="17"/>
      <c r="E50" s="13"/>
    </row>
    <row r="51">
      <c r="A51" s="19"/>
      <c r="B51" s="15"/>
      <c r="C51" s="13"/>
      <c r="D51" s="17"/>
      <c r="E51" s="13"/>
    </row>
    <row r="52">
      <c r="A52" s="19"/>
      <c r="B52" s="15"/>
      <c r="C52" s="13"/>
      <c r="D52" s="17"/>
      <c r="E52" s="13"/>
    </row>
    <row r="53">
      <c r="A53" s="19"/>
      <c r="B53" s="15"/>
      <c r="C53" s="13"/>
      <c r="D53" s="17"/>
      <c r="E53" s="13"/>
    </row>
    <row r="54">
      <c r="A54" s="19"/>
      <c r="B54" s="15"/>
      <c r="C54" s="13"/>
      <c r="D54" s="17"/>
      <c r="E54" s="13"/>
    </row>
    <row r="55">
      <c r="A55" s="19"/>
      <c r="B55" s="15"/>
      <c r="C55" s="13"/>
      <c r="D55" s="17"/>
      <c r="E55" s="13"/>
    </row>
    <row r="56">
      <c r="A56" s="19"/>
      <c r="B56" s="15"/>
      <c r="C56" s="13"/>
      <c r="D56" s="17"/>
      <c r="E56" s="13"/>
    </row>
    <row r="57">
      <c r="A57" s="19"/>
      <c r="B57" s="15"/>
      <c r="C57" s="13"/>
      <c r="D57" s="17"/>
      <c r="E57" s="13"/>
    </row>
    <row r="58">
      <c r="A58" s="19"/>
      <c r="B58" s="15"/>
      <c r="C58" s="13"/>
      <c r="D58" s="17"/>
      <c r="E58" s="13"/>
    </row>
    <row r="59">
      <c r="A59" s="19"/>
      <c r="B59" s="15"/>
      <c r="C59" s="13"/>
      <c r="D59" s="17"/>
      <c r="E59" s="13"/>
    </row>
    <row r="60">
      <c r="A60" s="19"/>
      <c r="B60" s="15"/>
      <c r="C60" s="13"/>
      <c r="D60" s="17"/>
      <c r="E60" s="13"/>
    </row>
    <row r="61">
      <c r="A61" s="19"/>
      <c r="B61" s="15"/>
      <c r="C61" s="13"/>
      <c r="D61" s="17"/>
      <c r="E61" s="13"/>
    </row>
    <row r="62">
      <c r="A62" s="19"/>
      <c r="B62" s="15"/>
      <c r="C62" s="13"/>
      <c r="D62" s="17"/>
      <c r="E62" s="13"/>
    </row>
    <row r="63">
      <c r="A63" s="19"/>
      <c r="B63" s="15"/>
      <c r="C63" s="13"/>
      <c r="D63" s="17"/>
      <c r="E63" s="13"/>
    </row>
    <row r="64">
      <c r="A64" s="19"/>
      <c r="B64" s="15"/>
      <c r="C64" s="13"/>
      <c r="D64" s="17"/>
      <c r="E64" s="13"/>
    </row>
    <row r="65">
      <c r="A65" s="19"/>
      <c r="B65" s="15"/>
      <c r="C65" s="13"/>
      <c r="D65" s="17"/>
      <c r="E65" s="13"/>
    </row>
    <row r="66">
      <c r="A66" s="19"/>
      <c r="B66" s="15"/>
      <c r="C66" s="13"/>
      <c r="D66" s="17"/>
      <c r="E66" s="13"/>
    </row>
    <row r="67">
      <c r="A67" s="19"/>
      <c r="B67" s="15"/>
      <c r="C67" s="13"/>
      <c r="D67" s="17"/>
      <c r="E67" s="13"/>
    </row>
    <row r="68">
      <c r="A68" s="19"/>
      <c r="B68" s="15"/>
      <c r="C68" s="13"/>
      <c r="D68" s="17"/>
      <c r="E68" s="13"/>
    </row>
    <row r="69">
      <c r="A69" s="19"/>
      <c r="B69" s="15"/>
      <c r="C69" s="13"/>
      <c r="D69" s="17"/>
      <c r="E69" s="13"/>
    </row>
    <row r="70">
      <c r="A70" s="19"/>
      <c r="B70" s="15"/>
      <c r="C70" s="13"/>
      <c r="D70" s="17"/>
      <c r="E70" s="13"/>
    </row>
    <row r="71">
      <c r="A71" s="19"/>
      <c r="B71" s="15"/>
      <c r="C71" s="13"/>
      <c r="D71" s="17"/>
      <c r="E71" s="13"/>
    </row>
    <row r="72">
      <c r="A72" s="19"/>
      <c r="B72" s="15"/>
      <c r="C72" s="13"/>
      <c r="D72" s="17"/>
      <c r="E72" s="13"/>
    </row>
    <row r="73">
      <c r="A73" s="19"/>
      <c r="B73" s="15"/>
      <c r="C73" s="13"/>
      <c r="D73" s="17"/>
      <c r="E73" s="13"/>
    </row>
    <row r="74">
      <c r="A74" s="19"/>
      <c r="B74" s="15"/>
      <c r="C74" s="13"/>
      <c r="D74" s="17"/>
      <c r="E74" s="13"/>
    </row>
    <row r="75">
      <c r="A75" s="19"/>
      <c r="B75" s="15"/>
      <c r="C75" s="13"/>
      <c r="D75" s="17"/>
      <c r="E75" s="13"/>
    </row>
    <row r="76">
      <c r="A76" s="19"/>
      <c r="B76" s="15"/>
      <c r="C76" s="13"/>
      <c r="D76" s="17"/>
      <c r="E76" s="13"/>
    </row>
    <row r="77">
      <c r="A77" s="19"/>
      <c r="B77" s="15"/>
      <c r="C77" s="13"/>
      <c r="D77" s="17"/>
      <c r="E77" s="13"/>
    </row>
    <row r="78">
      <c r="A78" s="19"/>
      <c r="B78" s="15"/>
      <c r="C78" s="13"/>
      <c r="D78" s="17"/>
      <c r="E78" s="13"/>
    </row>
    <row r="79">
      <c r="A79" s="19"/>
      <c r="B79" s="15"/>
      <c r="C79" s="13"/>
      <c r="D79" s="17"/>
      <c r="E79" s="13"/>
    </row>
    <row r="80">
      <c r="A80" s="19"/>
      <c r="B80" s="15"/>
      <c r="C80" s="13"/>
      <c r="D80" s="17"/>
      <c r="E80" s="13"/>
    </row>
    <row r="81">
      <c r="A81" s="19"/>
      <c r="B81" s="15"/>
      <c r="C81" s="13"/>
      <c r="D81" s="17"/>
      <c r="E81" s="13"/>
    </row>
    <row r="82">
      <c r="A82" s="19"/>
      <c r="B82" s="15"/>
      <c r="C82" s="13"/>
      <c r="D82" s="17"/>
      <c r="E82" s="13"/>
    </row>
    <row r="83">
      <c r="A83" s="19"/>
      <c r="B83" s="15"/>
      <c r="C83" s="13"/>
      <c r="D83" s="17"/>
      <c r="E83" s="13"/>
    </row>
    <row r="84">
      <c r="A84" s="19"/>
      <c r="B84" s="15"/>
      <c r="C84" s="13"/>
      <c r="D84" s="17"/>
      <c r="E84" s="13"/>
    </row>
    <row r="85">
      <c r="A85" s="19"/>
      <c r="B85" s="15"/>
      <c r="C85" s="13"/>
      <c r="D85" s="17"/>
      <c r="E85" s="13"/>
    </row>
    <row r="86">
      <c r="A86" s="19"/>
      <c r="B86" s="15"/>
      <c r="C86" s="13"/>
      <c r="D86" s="17"/>
      <c r="E86" s="13"/>
    </row>
    <row r="87">
      <c r="A87" s="19"/>
      <c r="B87" s="15"/>
      <c r="C87" s="13"/>
      <c r="D87" s="17"/>
      <c r="E87" s="13"/>
    </row>
    <row r="88">
      <c r="A88" s="19"/>
      <c r="B88" s="15"/>
      <c r="C88" s="13"/>
      <c r="D88" s="17"/>
      <c r="E88" s="13"/>
    </row>
    <row r="89">
      <c r="A89" s="19"/>
      <c r="B89" s="15"/>
      <c r="C89" s="13"/>
      <c r="D89" s="17"/>
      <c r="E89" s="13"/>
    </row>
    <row r="90">
      <c r="A90" s="19"/>
      <c r="B90" s="15"/>
      <c r="C90" s="13"/>
      <c r="D90" s="17"/>
      <c r="E90" s="13"/>
    </row>
    <row r="91">
      <c r="A91" s="19"/>
      <c r="B91" s="15"/>
      <c r="C91" s="13"/>
      <c r="D91" s="17"/>
      <c r="E91" s="13"/>
    </row>
    <row r="92">
      <c r="A92" s="19"/>
      <c r="B92" s="15"/>
      <c r="C92" s="13"/>
      <c r="D92" s="17"/>
      <c r="E92" s="13"/>
    </row>
    <row r="93">
      <c r="A93" s="19"/>
      <c r="B93" s="15"/>
      <c r="C93" s="13"/>
      <c r="D93" s="17"/>
      <c r="E93" s="13"/>
    </row>
    <row r="94">
      <c r="A94" s="19"/>
      <c r="B94" s="15"/>
      <c r="C94" s="13"/>
      <c r="D94" s="17"/>
      <c r="E94" s="13"/>
    </row>
    <row r="95">
      <c r="A95" s="19"/>
      <c r="B95" s="15"/>
      <c r="C95" s="13"/>
      <c r="D95" s="17"/>
      <c r="E95" s="13"/>
    </row>
    <row r="96">
      <c r="A96" s="19"/>
      <c r="B96" s="15"/>
      <c r="C96" s="13"/>
      <c r="D96" s="17"/>
      <c r="E96" s="13"/>
    </row>
    <row r="97">
      <c r="A97" s="19"/>
      <c r="B97" s="15"/>
      <c r="C97" s="13"/>
      <c r="D97" s="17"/>
      <c r="E97" s="13"/>
    </row>
    <row r="98">
      <c r="A98" s="19"/>
      <c r="B98" s="15"/>
      <c r="C98" s="13"/>
      <c r="D98" s="17"/>
      <c r="E98" s="13"/>
    </row>
    <row r="99">
      <c r="A99" s="19"/>
      <c r="B99" s="15"/>
      <c r="C99" s="13"/>
      <c r="D99" s="17"/>
      <c r="E99" s="13"/>
    </row>
    <row r="100">
      <c r="A100" s="19"/>
      <c r="B100" s="15"/>
      <c r="C100" s="13"/>
      <c r="D100" s="17"/>
      <c r="E100" s="13"/>
    </row>
    <row r="101">
      <c r="A101" s="19"/>
      <c r="B101" s="15"/>
      <c r="C101" s="13"/>
      <c r="D101" s="17"/>
      <c r="E101" s="13"/>
    </row>
    <row r="102">
      <c r="A102" s="19"/>
      <c r="B102" s="15"/>
      <c r="C102" s="13"/>
      <c r="D102" s="17"/>
      <c r="E102" s="13"/>
    </row>
    <row r="103">
      <c r="A103" s="19"/>
      <c r="B103" s="15"/>
      <c r="C103" s="13"/>
      <c r="D103" s="17"/>
      <c r="E103" s="13"/>
    </row>
    <row r="104">
      <c r="A104" s="19"/>
      <c r="B104" s="15"/>
      <c r="C104" s="13"/>
      <c r="D104" s="17"/>
      <c r="E104" s="13"/>
    </row>
    <row r="105">
      <c r="A105" s="19"/>
      <c r="B105" s="15"/>
      <c r="C105" s="13"/>
      <c r="D105" s="17"/>
      <c r="E105" s="13"/>
    </row>
    <row r="106">
      <c r="A106" s="19"/>
      <c r="B106" s="15"/>
      <c r="C106" s="13"/>
      <c r="D106" s="17"/>
      <c r="E106" s="13"/>
    </row>
    <row r="107">
      <c r="A107" s="19"/>
      <c r="B107" s="15"/>
      <c r="C107" s="13"/>
      <c r="D107" s="17"/>
      <c r="E107" s="13"/>
    </row>
    <row r="108">
      <c r="A108" s="19"/>
      <c r="B108" s="15"/>
      <c r="C108" s="13"/>
      <c r="D108" s="17"/>
      <c r="E108" s="13"/>
    </row>
    <row r="109">
      <c r="A109" s="19"/>
      <c r="B109" s="15"/>
      <c r="C109" s="13"/>
      <c r="D109" s="17"/>
      <c r="E109" s="13"/>
    </row>
    <row r="110">
      <c r="A110" s="19"/>
      <c r="B110" s="15"/>
      <c r="C110" s="13"/>
      <c r="D110" s="17"/>
      <c r="E110" s="13"/>
    </row>
    <row r="111">
      <c r="A111" s="19"/>
      <c r="B111" s="15"/>
      <c r="C111" s="13"/>
      <c r="D111" s="17"/>
      <c r="E111" s="13"/>
    </row>
    <row r="112">
      <c r="A112" s="19"/>
      <c r="B112" s="15"/>
      <c r="C112" s="13"/>
      <c r="D112" s="17"/>
      <c r="E112" s="13"/>
    </row>
    <row r="113">
      <c r="A113" s="19"/>
      <c r="B113" s="15"/>
      <c r="C113" s="13"/>
      <c r="D113" s="17"/>
      <c r="E113" s="13"/>
    </row>
    <row r="114">
      <c r="A114" s="19"/>
      <c r="B114" s="15"/>
      <c r="C114" s="13"/>
      <c r="D114" s="17"/>
      <c r="E114" s="13"/>
    </row>
    <row r="115">
      <c r="A115" s="19"/>
      <c r="B115" s="15"/>
      <c r="C115" s="13"/>
      <c r="D115" s="17"/>
      <c r="E115" s="13"/>
    </row>
    <row r="116">
      <c r="A116" s="19"/>
      <c r="B116" s="15"/>
      <c r="C116" s="13"/>
      <c r="D116" s="17"/>
      <c r="E116" s="13"/>
    </row>
    <row r="117">
      <c r="A117" s="19"/>
      <c r="B117" s="15"/>
      <c r="C117" s="13"/>
      <c r="D117" s="17"/>
      <c r="E117" s="13"/>
    </row>
    <row r="118">
      <c r="A118" s="19"/>
      <c r="B118" s="15"/>
      <c r="C118" s="13"/>
      <c r="D118" s="17"/>
      <c r="E118" s="13"/>
    </row>
    <row r="119">
      <c r="A119" s="19"/>
      <c r="B119" s="15"/>
      <c r="C119" s="13"/>
      <c r="D119" s="17"/>
      <c r="E119" s="13"/>
    </row>
    <row r="120">
      <c r="A120" s="19"/>
      <c r="B120" s="15"/>
      <c r="C120" s="13"/>
      <c r="D120" s="17"/>
      <c r="E120" s="13"/>
    </row>
    <row r="121">
      <c r="A121" s="19"/>
      <c r="B121" s="15"/>
      <c r="C121" s="13"/>
      <c r="D121" s="17"/>
      <c r="E121" s="13"/>
    </row>
    <row r="122">
      <c r="A122" s="19"/>
      <c r="B122" s="15"/>
      <c r="C122" s="13"/>
      <c r="D122" s="17"/>
      <c r="E122" s="13"/>
    </row>
    <row r="123">
      <c r="A123" s="19"/>
      <c r="B123" s="15"/>
      <c r="C123" s="13"/>
      <c r="D123" s="17"/>
      <c r="E123" s="13"/>
    </row>
    <row r="124">
      <c r="A124" s="19"/>
      <c r="B124" s="15"/>
      <c r="C124" s="13"/>
      <c r="D124" s="17"/>
      <c r="E124" s="13"/>
    </row>
    <row r="125">
      <c r="A125" s="19"/>
      <c r="B125" s="15"/>
      <c r="C125" s="13"/>
      <c r="D125" s="17"/>
      <c r="E125" s="13"/>
    </row>
    <row r="126">
      <c r="A126" s="19"/>
      <c r="B126" s="15"/>
      <c r="C126" s="13"/>
      <c r="D126" s="17"/>
      <c r="E126" s="13"/>
    </row>
    <row r="127">
      <c r="A127" s="19"/>
      <c r="B127" s="15"/>
      <c r="C127" s="13"/>
      <c r="D127" s="17"/>
      <c r="E127" s="13"/>
    </row>
    <row r="128">
      <c r="A128" s="19"/>
      <c r="B128" s="15"/>
      <c r="C128" s="13"/>
      <c r="D128" s="17"/>
      <c r="E128" s="13"/>
    </row>
    <row r="129">
      <c r="A129" s="19"/>
      <c r="B129" s="15"/>
      <c r="C129" s="13"/>
      <c r="D129" s="17"/>
      <c r="E129" s="13"/>
    </row>
    <row r="130">
      <c r="A130" s="19"/>
      <c r="B130" s="15"/>
      <c r="C130" s="13"/>
      <c r="D130" s="17"/>
      <c r="E130" s="13"/>
    </row>
    <row r="131">
      <c r="A131" s="19"/>
      <c r="B131" s="15"/>
      <c r="C131" s="13"/>
      <c r="D131" s="17"/>
      <c r="E131" s="13"/>
    </row>
    <row r="132">
      <c r="A132" s="19"/>
      <c r="B132" s="15"/>
      <c r="C132" s="13"/>
      <c r="D132" s="17"/>
      <c r="E132" s="13"/>
    </row>
    <row r="133">
      <c r="A133" s="19"/>
      <c r="B133" s="15"/>
      <c r="C133" s="13"/>
      <c r="D133" s="17"/>
      <c r="E133" s="13"/>
    </row>
    <row r="134">
      <c r="A134" s="19"/>
      <c r="B134" s="15"/>
      <c r="C134" s="13"/>
      <c r="D134" s="17"/>
      <c r="E134" s="13"/>
    </row>
    <row r="135">
      <c r="A135" s="19"/>
      <c r="B135" s="15"/>
      <c r="C135" s="13"/>
      <c r="D135" s="17"/>
      <c r="E135" s="13"/>
    </row>
    <row r="136">
      <c r="A136" s="19"/>
      <c r="B136" s="15"/>
      <c r="C136" s="13"/>
      <c r="D136" s="17"/>
      <c r="E136" s="13"/>
    </row>
    <row r="137">
      <c r="A137" s="19"/>
      <c r="B137" s="15"/>
      <c r="C137" s="13"/>
      <c r="D137" s="17"/>
      <c r="E137" s="13"/>
    </row>
    <row r="138">
      <c r="A138" s="19"/>
      <c r="B138" s="15"/>
      <c r="C138" s="13"/>
      <c r="D138" s="17"/>
      <c r="E138" s="13"/>
    </row>
    <row r="139">
      <c r="A139" s="19"/>
      <c r="B139" s="15"/>
      <c r="C139" s="13"/>
      <c r="D139" s="17"/>
      <c r="E139" s="13"/>
    </row>
    <row r="140">
      <c r="A140" s="19"/>
      <c r="B140" s="15"/>
      <c r="C140" s="13"/>
      <c r="D140" s="17"/>
      <c r="E140" s="13"/>
    </row>
    <row r="141">
      <c r="A141" s="19"/>
      <c r="B141" s="15"/>
      <c r="C141" s="13"/>
      <c r="D141" s="17"/>
      <c r="E141" s="13"/>
    </row>
    <row r="142">
      <c r="A142" s="19"/>
      <c r="B142" s="15"/>
      <c r="C142" s="13"/>
      <c r="D142" s="17"/>
      <c r="E142" s="13"/>
    </row>
    <row r="143">
      <c r="A143" s="19"/>
      <c r="B143" s="15"/>
      <c r="C143" s="13"/>
      <c r="D143" s="17"/>
      <c r="E143" s="13"/>
    </row>
    <row r="144">
      <c r="A144" s="19"/>
      <c r="B144" s="15"/>
      <c r="C144" s="13"/>
      <c r="D144" s="17"/>
      <c r="E144" s="13"/>
    </row>
    <row r="145">
      <c r="A145" s="19"/>
      <c r="B145" s="15"/>
      <c r="C145" s="13"/>
      <c r="D145" s="17"/>
      <c r="E145" s="13"/>
    </row>
    <row r="146">
      <c r="A146" s="19"/>
      <c r="B146" s="15"/>
      <c r="C146" s="13"/>
      <c r="D146" s="17"/>
      <c r="E146" s="13"/>
    </row>
    <row r="147">
      <c r="A147" s="19"/>
      <c r="B147" s="15"/>
      <c r="C147" s="13"/>
      <c r="D147" s="17"/>
      <c r="E147" s="13"/>
    </row>
    <row r="148">
      <c r="A148" s="19"/>
      <c r="B148" s="15"/>
      <c r="C148" s="13"/>
      <c r="D148" s="17"/>
      <c r="E148" s="13"/>
    </row>
    <row r="149">
      <c r="A149" s="19"/>
      <c r="B149" s="15"/>
      <c r="C149" s="13"/>
      <c r="D149" s="17"/>
      <c r="E149" s="13"/>
    </row>
    <row r="150">
      <c r="A150" s="19"/>
      <c r="B150" s="15"/>
      <c r="C150" s="13"/>
      <c r="D150" s="17"/>
      <c r="E150" s="13"/>
    </row>
    <row r="151">
      <c r="A151" s="19"/>
      <c r="B151" s="15"/>
      <c r="C151" s="13"/>
      <c r="D151" s="17"/>
      <c r="E151" s="13"/>
    </row>
    <row r="152">
      <c r="A152" s="19"/>
      <c r="B152" s="15"/>
      <c r="C152" s="13"/>
      <c r="D152" s="17"/>
      <c r="E152" s="13"/>
    </row>
    <row r="153">
      <c r="A153" s="19"/>
      <c r="B153" s="15"/>
      <c r="C153" s="13"/>
      <c r="D153" s="17"/>
      <c r="E153" s="13"/>
    </row>
    <row r="154">
      <c r="A154" s="19"/>
      <c r="B154" s="15"/>
      <c r="C154" s="13"/>
      <c r="D154" s="17"/>
      <c r="E154" s="13"/>
    </row>
    <row r="155">
      <c r="A155" s="19"/>
      <c r="B155" s="15"/>
      <c r="C155" s="13"/>
      <c r="D155" s="17"/>
      <c r="E155" s="13"/>
    </row>
    <row r="156">
      <c r="A156" s="19"/>
      <c r="B156" s="15"/>
      <c r="C156" s="13"/>
      <c r="D156" s="17"/>
      <c r="E156" s="13"/>
    </row>
    <row r="157">
      <c r="A157" s="19"/>
      <c r="B157" s="15"/>
      <c r="C157" s="13"/>
      <c r="D157" s="17"/>
      <c r="E157" s="13"/>
    </row>
    <row r="158">
      <c r="A158" s="19"/>
      <c r="B158" s="15"/>
      <c r="C158" s="13"/>
      <c r="D158" s="17"/>
      <c r="E158" s="13"/>
    </row>
    <row r="159">
      <c r="A159" s="19"/>
      <c r="B159" s="15"/>
      <c r="C159" s="13"/>
      <c r="D159" s="17"/>
      <c r="E159" s="13"/>
    </row>
    <row r="160">
      <c r="A160" s="19"/>
      <c r="B160" s="15"/>
      <c r="C160" s="13"/>
      <c r="D160" s="17"/>
      <c r="E160" s="13"/>
    </row>
    <row r="161">
      <c r="A161" s="19"/>
      <c r="B161" s="15"/>
      <c r="C161" s="13"/>
      <c r="D161" s="17"/>
      <c r="E161" s="13"/>
    </row>
    <row r="162">
      <c r="A162" s="19"/>
      <c r="B162" s="15"/>
      <c r="C162" s="13"/>
      <c r="D162" s="17"/>
      <c r="E162" s="13"/>
    </row>
    <row r="163">
      <c r="A163" s="19"/>
      <c r="B163" s="15"/>
      <c r="C163" s="13"/>
      <c r="D163" s="17"/>
      <c r="E163" s="13"/>
    </row>
    <row r="164">
      <c r="A164" s="19"/>
      <c r="B164" s="15"/>
      <c r="C164" s="13"/>
      <c r="D164" s="17"/>
      <c r="E164" s="13"/>
    </row>
    <row r="165">
      <c r="A165" s="19"/>
      <c r="B165" s="15"/>
      <c r="C165" s="13"/>
      <c r="D165" s="17"/>
      <c r="E165" s="13"/>
    </row>
    <row r="166">
      <c r="A166" s="19"/>
      <c r="B166" s="15"/>
      <c r="C166" s="13"/>
      <c r="D166" s="17"/>
      <c r="E166" s="13"/>
    </row>
    <row r="167">
      <c r="A167" s="19"/>
      <c r="B167" s="15"/>
      <c r="C167" s="13"/>
      <c r="D167" s="17"/>
      <c r="E167" s="13"/>
    </row>
    <row r="168">
      <c r="A168" s="19"/>
      <c r="B168" s="15"/>
      <c r="C168" s="13"/>
      <c r="D168" s="17"/>
      <c r="E168" s="13"/>
    </row>
    <row r="169">
      <c r="A169" s="19"/>
      <c r="B169" s="15"/>
      <c r="C169" s="13"/>
      <c r="D169" s="17"/>
      <c r="E169" s="13"/>
    </row>
    <row r="170">
      <c r="A170" s="19"/>
      <c r="B170" s="15"/>
      <c r="C170" s="13"/>
      <c r="D170" s="17"/>
      <c r="E170" s="13"/>
    </row>
    <row r="171">
      <c r="A171" s="19"/>
      <c r="B171" s="15"/>
      <c r="C171" s="13"/>
      <c r="D171" s="17"/>
      <c r="E171" s="13"/>
    </row>
    <row r="172">
      <c r="A172" s="19"/>
      <c r="B172" s="15"/>
      <c r="C172" s="13"/>
      <c r="D172" s="17"/>
      <c r="E172" s="13"/>
    </row>
    <row r="173">
      <c r="A173" s="19"/>
      <c r="B173" s="15"/>
      <c r="C173" s="13"/>
      <c r="D173" s="17"/>
      <c r="E173" s="13"/>
    </row>
    <row r="174">
      <c r="A174" s="19"/>
      <c r="B174" s="15"/>
      <c r="C174" s="13"/>
      <c r="D174" s="17"/>
      <c r="E174" s="13"/>
    </row>
    <row r="175">
      <c r="A175" s="19"/>
      <c r="B175" s="15"/>
      <c r="C175" s="13"/>
      <c r="D175" s="17"/>
      <c r="E175" s="13"/>
    </row>
    <row r="176">
      <c r="A176" s="19"/>
      <c r="B176" s="15"/>
      <c r="C176" s="13"/>
      <c r="D176" s="17"/>
      <c r="E176" s="13"/>
    </row>
    <row r="177">
      <c r="A177" s="19"/>
      <c r="B177" s="15"/>
      <c r="C177" s="13"/>
      <c r="D177" s="17"/>
      <c r="E177" s="13"/>
    </row>
    <row r="178">
      <c r="A178" s="19"/>
      <c r="B178" s="15"/>
      <c r="C178" s="13"/>
      <c r="D178" s="17"/>
      <c r="E178" s="13"/>
    </row>
    <row r="179">
      <c r="A179" s="19"/>
      <c r="B179" s="15"/>
      <c r="C179" s="13"/>
      <c r="D179" s="17"/>
      <c r="E179" s="13"/>
    </row>
    <row r="180">
      <c r="A180" s="19"/>
      <c r="B180" s="15"/>
      <c r="C180" s="13"/>
      <c r="D180" s="17"/>
      <c r="E180" s="13"/>
    </row>
    <row r="181">
      <c r="A181" s="19"/>
      <c r="B181" s="15"/>
      <c r="C181" s="13"/>
      <c r="D181" s="17"/>
      <c r="E181" s="13"/>
    </row>
    <row r="182">
      <c r="A182" s="19"/>
      <c r="B182" s="15"/>
      <c r="C182" s="13"/>
      <c r="D182" s="17"/>
      <c r="E182" s="13"/>
    </row>
    <row r="183">
      <c r="A183" s="19"/>
      <c r="B183" s="15"/>
      <c r="C183" s="13"/>
      <c r="D183" s="17"/>
      <c r="E183" s="13"/>
    </row>
    <row r="184">
      <c r="A184" s="19"/>
      <c r="B184" s="15"/>
      <c r="C184" s="13"/>
      <c r="D184" s="17"/>
      <c r="E184" s="13"/>
    </row>
    <row r="185">
      <c r="A185" s="19"/>
      <c r="B185" s="15"/>
      <c r="C185" s="13"/>
      <c r="D185" s="17"/>
      <c r="E185" s="13"/>
    </row>
    <row r="186">
      <c r="A186" s="19"/>
      <c r="B186" s="15"/>
      <c r="C186" s="13"/>
      <c r="D186" s="17"/>
      <c r="E186" s="13"/>
    </row>
    <row r="187">
      <c r="A187" s="19"/>
      <c r="B187" s="15"/>
      <c r="C187" s="13"/>
      <c r="D187" s="17"/>
      <c r="E187" s="13"/>
    </row>
    <row r="188">
      <c r="A188" s="19"/>
      <c r="B188" s="15"/>
      <c r="C188" s="13"/>
      <c r="D188" s="17"/>
      <c r="E188" s="13"/>
    </row>
    <row r="189">
      <c r="A189" s="19"/>
      <c r="B189" s="15"/>
      <c r="C189" s="13"/>
      <c r="D189" s="17"/>
      <c r="E189" s="13"/>
    </row>
    <row r="190">
      <c r="A190" s="19"/>
      <c r="B190" s="15"/>
      <c r="C190" s="13"/>
      <c r="D190" s="17"/>
      <c r="E190" s="13"/>
    </row>
    <row r="191">
      <c r="A191" s="19"/>
      <c r="B191" s="15"/>
      <c r="C191" s="13"/>
      <c r="D191" s="17"/>
      <c r="E191" s="13"/>
    </row>
    <row r="192">
      <c r="A192" s="19"/>
      <c r="B192" s="15"/>
      <c r="C192" s="13"/>
      <c r="D192" s="17"/>
      <c r="E192" s="13"/>
    </row>
    <row r="193">
      <c r="A193" s="19"/>
      <c r="B193" s="15"/>
      <c r="C193" s="13"/>
      <c r="D193" s="17"/>
      <c r="E193" s="13"/>
    </row>
    <row r="194">
      <c r="A194" s="19"/>
      <c r="B194" s="15"/>
      <c r="C194" s="13"/>
      <c r="D194" s="17"/>
      <c r="E194" s="13"/>
    </row>
    <row r="195">
      <c r="A195" s="19"/>
      <c r="B195" s="15"/>
      <c r="C195" s="13"/>
      <c r="D195" s="17"/>
      <c r="E195" s="13"/>
    </row>
    <row r="196">
      <c r="A196" s="19"/>
      <c r="B196" s="15"/>
      <c r="C196" s="13"/>
      <c r="D196" s="17"/>
      <c r="E196" s="13"/>
    </row>
    <row r="197">
      <c r="A197" s="19"/>
      <c r="B197" s="15"/>
      <c r="C197" s="13"/>
      <c r="D197" s="17"/>
      <c r="E197" s="13"/>
    </row>
    <row r="198">
      <c r="A198" s="19"/>
      <c r="B198" s="15"/>
      <c r="C198" s="13"/>
      <c r="D198" s="17"/>
      <c r="E198" s="13"/>
    </row>
    <row r="199">
      <c r="A199" s="19"/>
      <c r="B199" s="15"/>
      <c r="C199" s="13"/>
      <c r="D199" s="17"/>
      <c r="E199" s="13"/>
    </row>
    <row r="200">
      <c r="A200" s="19"/>
      <c r="B200" s="15"/>
      <c r="C200" s="13"/>
      <c r="D200" s="17"/>
      <c r="E200" s="13"/>
    </row>
    <row r="201">
      <c r="A201" s="19"/>
      <c r="B201" s="15"/>
      <c r="C201" s="13"/>
      <c r="D201" s="17"/>
      <c r="E201" s="13"/>
    </row>
    <row r="202">
      <c r="A202" s="19"/>
      <c r="B202" s="15"/>
      <c r="C202" s="13"/>
      <c r="D202" s="17"/>
      <c r="E202" s="13"/>
    </row>
    <row r="203">
      <c r="A203" s="19"/>
      <c r="B203" s="15"/>
      <c r="C203" s="13"/>
      <c r="D203" s="17"/>
      <c r="E203" s="13"/>
    </row>
    <row r="204">
      <c r="A204" s="19"/>
      <c r="B204" s="15"/>
      <c r="C204" s="13"/>
      <c r="D204" s="17"/>
      <c r="E204" s="13"/>
    </row>
    <row r="205">
      <c r="A205" s="19"/>
      <c r="B205" s="15"/>
      <c r="C205" s="13"/>
      <c r="D205" s="17"/>
      <c r="E205" s="13"/>
    </row>
    <row r="206">
      <c r="A206" s="19"/>
      <c r="B206" s="15"/>
      <c r="C206" s="13"/>
      <c r="D206" s="17"/>
      <c r="E206" s="13"/>
    </row>
    <row r="207">
      <c r="A207" s="19"/>
      <c r="B207" s="15"/>
      <c r="C207" s="13"/>
      <c r="D207" s="17"/>
      <c r="E207" s="13"/>
    </row>
    <row r="208">
      <c r="A208" s="19"/>
      <c r="B208" s="15"/>
      <c r="C208" s="13"/>
      <c r="D208" s="17"/>
      <c r="E208" s="13"/>
    </row>
    <row r="209">
      <c r="A209" s="19"/>
      <c r="B209" s="15"/>
      <c r="C209" s="13"/>
      <c r="D209" s="17"/>
      <c r="E209" s="13"/>
    </row>
    <row r="210">
      <c r="A210" s="19"/>
      <c r="B210" s="15"/>
      <c r="C210" s="13"/>
      <c r="D210" s="17"/>
      <c r="E210" s="13"/>
    </row>
    <row r="211">
      <c r="A211" s="19"/>
      <c r="B211" s="15"/>
      <c r="C211" s="13"/>
      <c r="D211" s="17"/>
      <c r="E211" s="13"/>
    </row>
    <row r="212">
      <c r="A212" s="19"/>
      <c r="B212" s="15"/>
      <c r="C212" s="13"/>
      <c r="D212" s="17"/>
      <c r="E212" s="13"/>
    </row>
    <row r="213">
      <c r="A213" s="19"/>
      <c r="B213" s="15"/>
      <c r="C213" s="13"/>
      <c r="D213" s="17"/>
      <c r="E213" s="13"/>
    </row>
    <row r="214">
      <c r="A214" s="19"/>
      <c r="B214" s="15"/>
      <c r="C214" s="13"/>
      <c r="D214" s="17"/>
      <c r="E214" s="13"/>
    </row>
    <row r="215">
      <c r="A215" s="19"/>
      <c r="B215" s="15"/>
      <c r="C215" s="13"/>
      <c r="D215" s="17"/>
      <c r="E215" s="13"/>
    </row>
    <row r="216">
      <c r="A216" s="19"/>
      <c r="B216" s="15"/>
      <c r="C216" s="13"/>
      <c r="D216" s="17"/>
      <c r="E216" s="13"/>
    </row>
    <row r="217">
      <c r="A217" s="19"/>
      <c r="B217" s="15"/>
      <c r="C217" s="13"/>
      <c r="D217" s="17"/>
      <c r="E217" s="13"/>
    </row>
    <row r="218">
      <c r="A218" s="19"/>
      <c r="B218" s="15"/>
      <c r="C218" s="13"/>
      <c r="D218" s="17"/>
      <c r="E218" s="13"/>
    </row>
    <row r="219">
      <c r="A219" s="19"/>
      <c r="B219" s="15"/>
      <c r="C219" s="13"/>
      <c r="D219" s="17"/>
      <c r="E219" s="13"/>
    </row>
    <row r="220">
      <c r="A220" s="19"/>
      <c r="B220" s="15"/>
      <c r="C220" s="13"/>
      <c r="D220" s="17"/>
      <c r="E220" s="13"/>
    </row>
    <row r="221">
      <c r="A221" s="19"/>
      <c r="B221" s="15"/>
      <c r="C221" s="13"/>
      <c r="D221" s="17"/>
      <c r="E221" s="13"/>
    </row>
    <row r="222">
      <c r="A222" s="19"/>
      <c r="B222" s="15"/>
      <c r="C222" s="13"/>
      <c r="D222" s="17"/>
      <c r="E222" s="13"/>
    </row>
    <row r="223">
      <c r="A223" s="19"/>
      <c r="B223" s="15"/>
      <c r="C223" s="13"/>
      <c r="D223" s="17"/>
      <c r="E223" s="13"/>
    </row>
    <row r="224">
      <c r="A224" s="19"/>
      <c r="B224" s="15"/>
      <c r="C224" s="13"/>
      <c r="D224" s="17"/>
      <c r="E224" s="13"/>
    </row>
    <row r="225">
      <c r="A225" s="19"/>
      <c r="B225" s="15"/>
      <c r="C225" s="13"/>
      <c r="D225" s="17"/>
      <c r="E225" s="13"/>
    </row>
    <row r="226">
      <c r="A226" s="19"/>
      <c r="B226" s="15"/>
      <c r="C226" s="13"/>
      <c r="D226" s="17"/>
      <c r="E226" s="13"/>
    </row>
    <row r="227">
      <c r="A227" s="19"/>
      <c r="B227" s="15"/>
      <c r="C227" s="13"/>
      <c r="D227" s="17"/>
      <c r="E227" s="13"/>
    </row>
    <row r="228">
      <c r="A228" s="19"/>
      <c r="B228" s="15"/>
      <c r="C228" s="13"/>
      <c r="D228" s="17"/>
      <c r="E228" s="13"/>
    </row>
    <row r="229">
      <c r="A229" s="19"/>
      <c r="B229" s="15"/>
      <c r="C229" s="13"/>
      <c r="D229" s="17"/>
      <c r="E229" s="13"/>
    </row>
    <row r="230">
      <c r="A230" s="19"/>
      <c r="B230" s="15"/>
      <c r="C230" s="13"/>
      <c r="D230" s="17"/>
      <c r="E230" s="13"/>
    </row>
    <row r="231">
      <c r="A231" s="19"/>
      <c r="B231" s="15"/>
      <c r="C231" s="13"/>
      <c r="D231" s="17"/>
      <c r="E231" s="13"/>
    </row>
    <row r="232">
      <c r="A232" s="19"/>
      <c r="B232" s="15"/>
      <c r="C232" s="13"/>
      <c r="D232" s="17"/>
      <c r="E232" s="13"/>
    </row>
    <row r="233">
      <c r="A233" s="19"/>
      <c r="B233" s="15"/>
      <c r="C233" s="13"/>
      <c r="D233" s="17"/>
      <c r="E233" s="13"/>
    </row>
    <row r="234">
      <c r="A234" s="19"/>
      <c r="B234" s="15"/>
      <c r="C234" s="13"/>
      <c r="D234" s="17"/>
      <c r="E234" s="13"/>
    </row>
    <row r="235">
      <c r="A235" s="19"/>
      <c r="B235" s="15"/>
      <c r="C235" s="13"/>
      <c r="D235" s="17"/>
      <c r="E235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22.0"/>
  </cols>
  <sheetData>
    <row r="1">
      <c r="A1" s="1" t="s">
        <v>2</v>
      </c>
      <c r="B1" s="4" t="s">
        <v>3</v>
      </c>
      <c r="C1" s="1" t="s">
        <v>7</v>
      </c>
      <c r="D1" s="4" t="s">
        <v>10</v>
      </c>
      <c r="E1" s="1" t="s">
        <v>13</v>
      </c>
      <c r="F1" s="4" t="s">
        <v>16</v>
      </c>
      <c r="G1" s="1" t="s">
        <v>20</v>
      </c>
      <c r="H1" s="4" t="s">
        <v>24</v>
      </c>
      <c r="I1" s="9" t="s">
        <v>33</v>
      </c>
      <c r="J1" s="10" t="s">
        <v>42</v>
      </c>
      <c r="K1" s="9" t="s">
        <v>44</v>
      </c>
      <c r="L1" s="10" t="s">
        <v>45</v>
      </c>
    </row>
    <row r="2">
      <c r="A2" s="11">
        <v>1.0</v>
      </c>
      <c r="B2" s="12" t="s">
        <v>47</v>
      </c>
      <c r="C2" s="11">
        <v>123.0</v>
      </c>
      <c r="D2" s="14">
        <v>1.0</v>
      </c>
      <c r="E2" s="16">
        <v>46310.69137731481</v>
      </c>
      <c r="F2" s="18">
        <v>46310.69368055555</v>
      </c>
      <c r="G2" s="11" t="s">
        <v>29</v>
      </c>
      <c r="H2" s="12" t="s">
        <v>53</v>
      </c>
      <c r="I2" s="11" t="s">
        <v>54</v>
      </c>
      <c r="J2" s="14">
        <v>1.0</v>
      </c>
      <c r="K2" s="20">
        <v>0.0</v>
      </c>
      <c r="L2" s="12" t="s">
        <v>29</v>
      </c>
    </row>
    <row r="3">
      <c r="A3" s="11">
        <v>2.0</v>
      </c>
      <c r="B3" s="12" t="s">
        <v>47</v>
      </c>
      <c r="C3" s="11" t="s">
        <v>55</v>
      </c>
      <c r="D3" s="14">
        <v>1.0</v>
      </c>
      <c r="E3" s="16">
        <v>46310.70784722222</v>
      </c>
      <c r="F3" s="18">
        <v>46310.72292824074</v>
      </c>
      <c r="G3" s="11" t="s">
        <v>56</v>
      </c>
      <c r="H3" s="12" t="s">
        <v>57</v>
      </c>
      <c r="I3" s="11" t="s">
        <v>54</v>
      </c>
      <c r="J3" s="14">
        <v>1.0</v>
      </c>
      <c r="K3" s="20">
        <v>0.0</v>
      </c>
      <c r="L3" s="12" t="s">
        <v>56</v>
      </c>
    </row>
    <row r="4">
      <c r="A4" s="21">
        <v>3.0</v>
      </c>
      <c r="B4" s="23" t="s">
        <v>59</v>
      </c>
      <c r="C4" s="21" t="s">
        <v>68</v>
      </c>
      <c r="D4" s="24">
        <v>1.0</v>
      </c>
      <c r="E4" s="25">
        <v>46317.73815972222</v>
      </c>
      <c r="F4" s="23" t="s">
        <v>74</v>
      </c>
      <c r="G4" s="21" t="s">
        <v>17</v>
      </c>
      <c r="H4" s="23" t="s">
        <v>76</v>
      </c>
      <c r="I4" s="21" t="s">
        <v>77</v>
      </c>
      <c r="J4" s="24">
        <v>1.0</v>
      </c>
      <c r="K4" s="29">
        <v>0.0</v>
      </c>
      <c r="L4" s="23" t="s">
        <v>74</v>
      </c>
    </row>
    <row r="5">
      <c r="A5" s="21">
        <v>4.0</v>
      </c>
      <c r="B5" s="23" t="s">
        <v>78</v>
      </c>
      <c r="C5" s="21" t="s">
        <v>79</v>
      </c>
      <c r="D5" s="24">
        <v>1.0</v>
      </c>
      <c r="E5" s="25">
        <v>46324.65355324074</v>
      </c>
      <c r="F5" s="23" t="s">
        <v>74</v>
      </c>
      <c r="G5" s="21" t="s">
        <v>15</v>
      </c>
      <c r="H5" s="23" t="s">
        <v>24</v>
      </c>
      <c r="I5" s="21" t="s">
        <v>77</v>
      </c>
      <c r="J5" s="24">
        <v>1.0</v>
      </c>
      <c r="K5" s="29">
        <v>0.0</v>
      </c>
      <c r="L5" s="23" t="s">
        <v>74</v>
      </c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2" t="s">
        <v>58</v>
      </c>
      <c r="B1" s="22" t="s">
        <v>60</v>
      </c>
      <c r="C1" s="22" t="s">
        <v>61</v>
      </c>
      <c r="D1" s="22" t="s">
        <v>62</v>
      </c>
      <c r="E1" s="22" t="s">
        <v>63</v>
      </c>
      <c r="F1" s="22" t="s">
        <v>64</v>
      </c>
      <c r="G1" s="22" t="s">
        <v>65</v>
      </c>
      <c r="H1" s="22" t="s">
        <v>66</v>
      </c>
      <c r="I1" s="22" t="s">
        <v>67</v>
      </c>
      <c r="J1" s="22" t="s">
        <v>69</v>
      </c>
      <c r="K1" s="22" t="s">
        <v>70</v>
      </c>
      <c r="L1" s="22" t="s">
        <v>71</v>
      </c>
      <c r="M1" s="22" t="s">
        <v>72</v>
      </c>
      <c r="N1" s="22" t="s">
        <v>73</v>
      </c>
    </row>
    <row r="2">
      <c r="A2" s="26">
        <v>46179.416666666664</v>
      </c>
      <c r="B2" s="27" t="s">
        <v>75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6" t="s">
        <v>144</v>
      </c>
      <c r="B1" s="36" t="s">
        <v>62</v>
      </c>
      <c r="C1" s="36" t="s">
        <v>146</v>
      </c>
      <c r="D1" s="36" t="s">
        <v>148</v>
      </c>
      <c r="E1" s="36" t="s">
        <v>150</v>
      </c>
      <c r="F1" s="36" t="s">
        <v>151</v>
      </c>
      <c r="G1" s="36" t="s">
        <v>152</v>
      </c>
      <c r="H1" s="36" t="s">
        <v>65</v>
      </c>
      <c r="I1" s="36" t="s">
        <v>72</v>
      </c>
    </row>
    <row r="2">
      <c r="A2" s="28"/>
      <c r="B2" s="28"/>
      <c r="C2" s="28"/>
      <c r="D2" s="28"/>
      <c r="E2" s="28"/>
      <c r="F2" s="28"/>
      <c r="G2" s="28"/>
      <c r="H2" s="28"/>
      <c r="I2" s="28"/>
    </row>
    <row r="3">
      <c r="A3" s="28"/>
      <c r="B3" s="28"/>
      <c r="C3" s="28"/>
      <c r="D3" s="28"/>
      <c r="E3" s="28"/>
      <c r="F3" s="28"/>
      <c r="G3" s="28"/>
      <c r="H3" s="28"/>
      <c r="I3" s="28"/>
    </row>
    <row r="4">
      <c r="A4" s="28"/>
      <c r="B4" s="28"/>
      <c r="C4" s="28"/>
      <c r="D4" s="28"/>
      <c r="E4" s="28"/>
      <c r="F4" s="28"/>
      <c r="G4" s="28"/>
      <c r="H4" s="28"/>
      <c r="I4" s="28"/>
    </row>
    <row r="5">
      <c r="A5" s="28"/>
      <c r="B5" s="28"/>
      <c r="C5" s="28"/>
      <c r="D5" s="28"/>
      <c r="E5" s="28"/>
      <c r="F5" s="28"/>
      <c r="G5" s="28"/>
      <c r="H5" s="28"/>
      <c r="I5" s="28"/>
    </row>
    <row r="6">
      <c r="A6" s="28"/>
      <c r="B6" s="28"/>
      <c r="C6" s="28"/>
      <c r="D6" s="28"/>
      <c r="E6" s="28"/>
      <c r="F6" s="28"/>
      <c r="G6" s="28"/>
      <c r="H6" s="28"/>
      <c r="I6" s="28"/>
    </row>
    <row r="7">
      <c r="A7" s="28"/>
      <c r="B7" s="28"/>
      <c r="C7" s="28"/>
      <c r="D7" s="28"/>
      <c r="E7" s="28"/>
      <c r="F7" s="28"/>
      <c r="G7" s="28"/>
      <c r="H7" s="28"/>
      <c r="I7" s="28"/>
    </row>
    <row r="8">
      <c r="A8" s="28"/>
      <c r="B8" s="28"/>
      <c r="C8" s="28"/>
      <c r="D8" s="28"/>
      <c r="E8" s="28"/>
      <c r="F8" s="28"/>
      <c r="G8" s="28"/>
      <c r="H8" s="28"/>
      <c r="I8" s="28"/>
    </row>
    <row r="9">
      <c r="A9" s="28"/>
      <c r="B9" s="28"/>
      <c r="C9" s="28"/>
      <c r="D9" s="28"/>
      <c r="E9" s="28"/>
      <c r="F9" s="28"/>
      <c r="G9" s="28"/>
      <c r="H9" s="28"/>
      <c r="I9" s="28"/>
    </row>
    <row r="10">
      <c r="A10" s="28"/>
      <c r="B10" s="28"/>
      <c r="C10" s="28"/>
      <c r="D10" s="28"/>
      <c r="E10" s="28"/>
      <c r="F10" s="28"/>
      <c r="G10" s="28"/>
      <c r="H10" s="28"/>
      <c r="I10" s="28"/>
    </row>
    <row r="11">
      <c r="A11" s="28"/>
      <c r="B11" s="28"/>
      <c r="C11" s="28"/>
      <c r="D11" s="28"/>
      <c r="E11" s="28"/>
      <c r="F11" s="28"/>
      <c r="G11" s="28"/>
      <c r="H11" s="28"/>
      <c r="I11" s="28"/>
    </row>
    <row r="12">
      <c r="A12" s="28"/>
      <c r="B12" s="28"/>
      <c r="C12" s="28"/>
      <c r="D12" s="28"/>
      <c r="E12" s="28"/>
      <c r="F12" s="28"/>
      <c r="G12" s="28"/>
      <c r="H12" s="28"/>
      <c r="I12" s="28"/>
    </row>
    <row r="13">
      <c r="A13" s="28"/>
      <c r="B13" s="28"/>
      <c r="C13" s="28"/>
      <c r="D13" s="28"/>
      <c r="E13" s="28"/>
      <c r="F13" s="28"/>
      <c r="G13" s="28"/>
      <c r="H13" s="28"/>
      <c r="I13" s="28"/>
    </row>
    <row r="14">
      <c r="A14" s="28"/>
      <c r="B14" s="28"/>
      <c r="C14" s="28"/>
      <c r="D14" s="28"/>
      <c r="E14" s="28"/>
      <c r="F14" s="28"/>
      <c r="G14" s="28"/>
      <c r="H14" s="28"/>
      <c r="I14" s="28"/>
    </row>
    <row r="15">
      <c r="A15" s="28"/>
      <c r="B15" s="28"/>
      <c r="C15" s="28"/>
      <c r="D15" s="28"/>
      <c r="E15" s="28"/>
      <c r="F15" s="28"/>
      <c r="G15" s="28"/>
      <c r="H15" s="28"/>
      <c r="I15" s="28"/>
    </row>
    <row r="16">
      <c r="A16" s="28"/>
      <c r="B16" s="28"/>
      <c r="C16" s="28"/>
      <c r="D16" s="28"/>
      <c r="E16" s="28"/>
      <c r="F16" s="28"/>
      <c r="G16" s="28"/>
      <c r="H16" s="28"/>
      <c r="I16" s="28"/>
    </row>
    <row r="17">
      <c r="A17" s="28"/>
      <c r="B17" s="28"/>
      <c r="C17" s="28"/>
      <c r="D17" s="28"/>
      <c r="E17" s="28"/>
      <c r="F17" s="28"/>
      <c r="G17" s="28"/>
      <c r="H17" s="28"/>
      <c r="I17" s="28"/>
    </row>
    <row r="18">
      <c r="A18" s="28"/>
      <c r="B18" s="28"/>
      <c r="C18" s="28"/>
      <c r="D18" s="28"/>
      <c r="E18" s="28"/>
      <c r="F18" s="28"/>
      <c r="G18" s="28"/>
      <c r="H18" s="28"/>
      <c r="I18" s="28"/>
    </row>
    <row r="19">
      <c r="A19" s="28"/>
      <c r="B19" s="28"/>
      <c r="C19" s="28"/>
      <c r="D19" s="28"/>
      <c r="E19" s="28"/>
      <c r="F19" s="28"/>
      <c r="G19" s="28"/>
      <c r="H19" s="28"/>
      <c r="I19" s="28"/>
    </row>
    <row r="20">
      <c r="A20" s="28"/>
      <c r="B20" s="28"/>
      <c r="C20" s="28"/>
      <c r="D20" s="28"/>
      <c r="E20" s="28"/>
      <c r="F20" s="28"/>
      <c r="G20" s="28"/>
      <c r="H20" s="28"/>
      <c r="I20" s="28"/>
    </row>
    <row r="21">
      <c r="A21" s="28"/>
      <c r="B21" s="28"/>
      <c r="C21" s="28"/>
      <c r="D21" s="28"/>
      <c r="E21" s="28"/>
      <c r="F21" s="28"/>
      <c r="G21" s="28"/>
      <c r="H21" s="28"/>
      <c r="I21" s="28"/>
    </row>
    <row r="22">
      <c r="A22" s="28"/>
      <c r="B22" s="28"/>
      <c r="C22" s="28"/>
      <c r="D22" s="28"/>
      <c r="E22" s="28"/>
      <c r="F22" s="28"/>
      <c r="G22" s="28"/>
      <c r="H22" s="28"/>
      <c r="I22" s="28"/>
    </row>
    <row r="23">
      <c r="A23" s="28"/>
      <c r="B23" s="28"/>
      <c r="C23" s="28"/>
      <c r="D23" s="28"/>
      <c r="E23" s="28"/>
      <c r="F23" s="28"/>
      <c r="G23" s="28"/>
      <c r="H23" s="28"/>
      <c r="I23" s="28"/>
    </row>
    <row r="24">
      <c r="A24" s="28"/>
      <c r="B24" s="28"/>
      <c r="C24" s="28"/>
      <c r="D24" s="28"/>
      <c r="E24" s="28"/>
      <c r="F24" s="28"/>
      <c r="G24" s="28"/>
      <c r="H24" s="28"/>
      <c r="I24" s="28"/>
    </row>
    <row r="25">
      <c r="A25" s="28"/>
      <c r="B25" s="28"/>
      <c r="C25" s="28"/>
      <c r="D25" s="28"/>
      <c r="E25" s="28"/>
      <c r="F25" s="28"/>
      <c r="G25" s="28"/>
      <c r="H25" s="28"/>
      <c r="I25" s="28"/>
    </row>
    <row r="26">
      <c r="A26" s="28"/>
      <c r="B26" s="28"/>
      <c r="C26" s="28"/>
      <c r="D26" s="28"/>
      <c r="E26" s="28"/>
      <c r="F26" s="28"/>
      <c r="G26" s="28"/>
      <c r="H26" s="28"/>
      <c r="I26" s="28"/>
    </row>
    <row r="27">
      <c r="A27" s="28"/>
      <c r="B27" s="28"/>
      <c r="C27" s="28"/>
      <c r="D27" s="28"/>
      <c r="E27" s="28"/>
      <c r="F27" s="28"/>
      <c r="G27" s="28"/>
      <c r="H27" s="28"/>
      <c r="I27" s="28"/>
    </row>
    <row r="28">
      <c r="A28" s="28"/>
      <c r="B28" s="28"/>
      <c r="C28" s="28"/>
      <c r="D28" s="28"/>
      <c r="E28" s="28"/>
      <c r="F28" s="28"/>
      <c r="G28" s="28"/>
      <c r="H28" s="28"/>
      <c r="I28" s="28"/>
    </row>
    <row r="29">
      <c r="A29" s="28"/>
      <c r="B29" s="28"/>
      <c r="C29" s="28"/>
      <c r="D29" s="28"/>
      <c r="E29" s="28"/>
      <c r="F29" s="28"/>
      <c r="G29" s="28"/>
      <c r="H29" s="28"/>
      <c r="I29" s="28"/>
    </row>
    <row r="30">
      <c r="A30" s="28"/>
      <c r="B30" s="28"/>
      <c r="C30" s="28"/>
      <c r="D30" s="28"/>
      <c r="E30" s="28"/>
      <c r="F30" s="28"/>
      <c r="G30" s="28"/>
      <c r="H30" s="28"/>
      <c r="I30" s="28"/>
    </row>
    <row r="31">
      <c r="A31" s="28"/>
      <c r="B31" s="28"/>
      <c r="C31" s="28"/>
      <c r="D31" s="28"/>
      <c r="E31" s="28"/>
      <c r="F31" s="28"/>
      <c r="G31" s="28"/>
      <c r="H31" s="28"/>
      <c r="I31" s="28"/>
    </row>
    <row r="32">
      <c r="A32" s="28"/>
      <c r="B32" s="28"/>
      <c r="C32" s="28"/>
      <c r="D32" s="28"/>
      <c r="E32" s="28"/>
      <c r="F32" s="28"/>
      <c r="G32" s="28"/>
      <c r="H32" s="28"/>
      <c r="I32" s="28"/>
    </row>
    <row r="33">
      <c r="A33" s="28"/>
      <c r="B33" s="28"/>
      <c r="C33" s="28"/>
      <c r="D33" s="28"/>
      <c r="E33" s="28"/>
      <c r="F33" s="28"/>
      <c r="G33" s="28"/>
      <c r="H33" s="28"/>
      <c r="I33" s="28"/>
    </row>
    <row r="34">
      <c r="A34" s="28"/>
      <c r="B34" s="28"/>
      <c r="C34" s="28"/>
      <c r="D34" s="28"/>
      <c r="E34" s="28"/>
      <c r="F34" s="28"/>
      <c r="G34" s="28"/>
      <c r="H34" s="28"/>
      <c r="I34" s="28"/>
    </row>
    <row r="35">
      <c r="A35" s="28"/>
      <c r="B35" s="28"/>
      <c r="C35" s="28"/>
      <c r="D35" s="28"/>
      <c r="E35" s="28"/>
      <c r="F35" s="28"/>
      <c r="G35" s="28"/>
      <c r="H35" s="28"/>
      <c r="I35" s="28"/>
    </row>
    <row r="36">
      <c r="A36" s="28"/>
      <c r="B36" s="28"/>
      <c r="C36" s="28"/>
      <c r="D36" s="28"/>
      <c r="E36" s="28"/>
      <c r="F36" s="28"/>
      <c r="G36" s="28"/>
      <c r="H36" s="28"/>
      <c r="I36" s="28"/>
    </row>
    <row r="37">
      <c r="A37" s="28"/>
      <c r="B37" s="28"/>
      <c r="C37" s="28"/>
      <c r="D37" s="28"/>
      <c r="E37" s="28"/>
      <c r="F37" s="28"/>
      <c r="G37" s="28"/>
      <c r="H37" s="28"/>
      <c r="I37" s="28"/>
    </row>
    <row r="38">
      <c r="A38" s="28"/>
      <c r="B38" s="28"/>
      <c r="C38" s="28"/>
      <c r="D38" s="28"/>
      <c r="E38" s="28"/>
      <c r="F38" s="28"/>
      <c r="G38" s="28"/>
      <c r="H38" s="28"/>
      <c r="I38" s="28"/>
    </row>
    <row r="39">
      <c r="A39" s="28"/>
      <c r="B39" s="28"/>
      <c r="C39" s="28"/>
      <c r="D39" s="28"/>
      <c r="E39" s="28"/>
      <c r="F39" s="28"/>
      <c r="G39" s="28"/>
      <c r="H39" s="28"/>
      <c r="I39" s="28"/>
    </row>
    <row r="40">
      <c r="A40" s="28"/>
      <c r="B40" s="28"/>
      <c r="C40" s="28"/>
      <c r="D40" s="28"/>
      <c r="E40" s="28"/>
      <c r="F40" s="28"/>
      <c r="G40" s="28"/>
      <c r="H40" s="28"/>
      <c r="I40" s="28"/>
    </row>
    <row r="41">
      <c r="A41" s="28"/>
      <c r="B41" s="28"/>
      <c r="C41" s="28"/>
      <c r="D41" s="28"/>
      <c r="E41" s="28"/>
      <c r="F41" s="28"/>
      <c r="G41" s="28"/>
      <c r="H41" s="28"/>
      <c r="I41" s="28"/>
    </row>
    <row r="42">
      <c r="A42" s="28"/>
      <c r="B42" s="28"/>
      <c r="C42" s="28"/>
      <c r="D42" s="28"/>
      <c r="E42" s="28"/>
      <c r="F42" s="28"/>
      <c r="G42" s="28"/>
      <c r="H42" s="28"/>
      <c r="I42" s="28"/>
    </row>
    <row r="43">
      <c r="A43" s="28"/>
      <c r="B43" s="28"/>
      <c r="C43" s="28"/>
      <c r="D43" s="28"/>
      <c r="E43" s="28"/>
      <c r="F43" s="28"/>
      <c r="G43" s="28"/>
      <c r="H43" s="28"/>
      <c r="I43" s="28"/>
    </row>
    <row r="44">
      <c r="A44" s="28"/>
      <c r="B44" s="28"/>
      <c r="C44" s="28"/>
      <c r="D44" s="28"/>
      <c r="E44" s="28"/>
      <c r="F44" s="28"/>
      <c r="G44" s="28"/>
      <c r="H44" s="28"/>
      <c r="I44" s="28"/>
    </row>
    <row r="45">
      <c r="A45" s="28"/>
      <c r="B45" s="28"/>
      <c r="C45" s="28"/>
      <c r="D45" s="28"/>
      <c r="E45" s="28"/>
      <c r="F45" s="28"/>
      <c r="G45" s="28"/>
      <c r="H45" s="28"/>
      <c r="I45" s="28"/>
    </row>
    <row r="46">
      <c r="A46" s="28"/>
      <c r="B46" s="28"/>
      <c r="C46" s="28"/>
      <c r="D46" s="28"/>
      <c r="E46" s="28"/>
      <c r="F46" s="28"/>
      <c r="G46" s="28"/>
      <c r="H46" s="28"/>
      <c r="I46" s="28"/>
    </row>
    <row r="47">
      <c r="A47" s="28"/>
      <c r="B47" s="28"/>
      <c r="C47" s="28"/>
      <c r="D47" s="28"/>
      <c r="E47" s="28"/>
      <c r="F47" s="28"/>
      <c r="G47" s="28"/>
      <c r="H47" s="28"/>
      <c r="I47" s="28"/>
    </row>
    <row r="48">
      <c r="A48" s="28"/>
      <c r="B48" s="28"/>
      <c r="C48" s="28"/>
      <c r="D48" s="28"/>
      <c r="E48" s="28"/>
      <c r="F48" s="28"/>
      <c r="G48" s="28"/>
      <c r="H48" s="28"/>
      <c r="I48" s="28"/>
    </row>
    <row r="49">
      <c r="A49" s="28"/>
      <c r="B49" s="28"/>
      <c r="C49" s="28"/>
      <c r="D49" s="28"/>
      <c r="E49" s="28"/>
      <c r="F49" s="28"/>
      <c r="G49" s="28"/>
      <c r="H49" s="28"/>
      <c r="I49" s="28"/>
    </row>
    <row r="50">
      <c r="A50" s="28"/>
      <c r="B50" s="28"/>
      <c r="C50" s="28"/>
      <c r="D50" s="28"/>
      <c r="E50" s="28"/>
      <c r="F50" s="28"/>
      <c r="G50" s="28"/>
      <c r="H50" s="28"/>
      <c r="I50" s="28"/>
    </row>
    <row r="51">
      <c r="A51" s="28"/>
      <c r="B51" s="28"/>
      <c r="C51" s="28"/>
      <c r="D51" s="28"/>
      <c r="E51" s="28"/>
      <c r="F51" s="28"/>
      <c r="G51" s="28"/>
      <c r="H51" s="28"/>
      <c r="I51" s="28"/>
    </row>
    <row r="52">
      <c r="A52" s="28"/>
      <c r="B52" s="28"/>
      <c r="C52" s="28"/>
      <c r="D52" s="28"/>
      <c r="E52" s="28"/>
      <c r="F52" s="28"/>
      <c r="G52" s="28"/>
      <c r="H52" s="28"/>
      <c r="I52" s="28"/>
    </row>
    <row r="53">
      <c r="A53" s="28"/>
      <c r="B53" s="28"/>
      <c r="C53" s="28"/>
      <c r="D53" s="28"/>
      <c r="E53" s="28"/>
      <c r="F53" s="28"/>
      <c r="G53" s="28"/>
      <c r="H53" s="28"/>
      <c r="I53" s="28"/>
    </row>
    <row r="54">
      <c r="A54" s="28"/>
      <c r="B54" s="28"/>
      <c r="C54" s="28"/>
      <c r="D54" s="28"/>
      <c r="E54" s="28"/>
      <c r="F54" s="28"/>
      <c r="G54" s="28"/>
      <c r="H54" s="28"/>
      <c r="I54" s="28"/>
    </row>
    <row r="55">
      <c r="A55" s="28"/>
      <c r="B55" s="28"/>
      <c r="C55" s="28"/>
      <c r="D55" s="28"/>
      <c r="E55" s="28"/>
      <c r="F55" s="28"/>
      <c r="G55" s="28"/>
      <c r="H55" s="28"/>
      <c r="I55" s="28"/>
    </row>
    <row r="56">
      <c r="A56" s="28"/>
      <c r="B56" s="28"/>
      <c r="C56" s="28"/>
      <c r="D56" s="28"/>
      <c r="E56" s="28"/>
      <c r="F56" s="28"/>
      <c r="G56" s="28"/>
      <c r="H56" s="28"/>
      <c r="I56" s="28"/>
    </row>
    <row r="57">
      <c r="A57" s="28"/>
      <c r="B57" s="28"/>
      <c r="C57" s="28"/>
      <c r="D57" s="28"/>
      <c r="E57" s="28"/>
      <c r="F57" s="28"/>
      <c r="G57" s="28"/>
      <c r="H57" s="28"/>
      <c r="I57" s="28"/>
    </row>
    <row r="58">
      <c r="A58" s="28"/>
      <c r="B58" s="28"/>
      <c r="C58" s="28"/>
      <c r="D58" s="28"/>
      <c r="E58" s="28"/>
      <c r="F58" s="28"/>
      <c r="G58" s="28"/>
      <c r="H58" s="28"/>
      <c r="I58" s="28"/>
    </row>
    <row r="59">
      <c r="A59" s="28"/>
      <c r="B59" s="28"/>
      <c r="C59" s="28"/>
      <c r="D59" s="28"/>
      <c r="E59" s="28"/>
      <c r="F59" s="28"/>
      <c r="G59" s="28"/>
      <c r="H59" s="28"/>
      <c r="I59" s="28"/>
    </row>
    <row r="60">
      <c r="A60" s="28"/>
      <c r="B60" s="28"/>
      <c r="C60" s="28"/>
      <c r="D60" s="28"/>
      <c r="E60" s="28"/>
      <c r="F60" s="28"/>
      <c r="G60" s="28"/>
      <c r="H60" s="28"/>
      <c r="I60" s="28"/>
    </row>
    <row r="61">
      <c r="A61" s="28"/>
      <c r="B61" s="28"/>
      <c r="C61" s="28"/>
      <c r="D61" s="28"/>
      <c r="E61" s="28"/>
      <c r="F61" s="28"/>
      <c r="G61" s="28"/>
      <c r="H61" s="28"/>
      <c r="I61" s="28"/>
    </row>
    <row r="62">
      <c r="A62" s="28"/>
      <c r="B62" s="28"/>
      <c r="C62" s="28"/>
      <c r="D62" s="28"/>
      <c r="E62" s="28"/>
      <c r="F62" s="28"/>
      <c r="G62" s="28"/>
      <c r="H62" s="28"/>
      <c r="I62" s="28"/>
    </row>
    <row r="63">
      <c r="A63" s="28"/>
      <c r="B63" s="28"/>
      <c r="C63" s="28"/>
      <c r="D63" s="28"/>
      <c r="E63" s="28"/>
      <c r="F63" s="28"/>
      <c r="G63" s="28"/>
      <c r="H63" s="28"/>
      <c r="I63" s="28"/>
    </row>
    <row r="64">
      <c r="A64" s="28"/>
      <c r="B64" s="28"/>
      <c r="C64" s="28"/>
      <c r="D64" s="28"/>
      <c r="E64" s="28"/>
      <c r="F64" s="28"/>
      <c r="G64" s="28"/>
      <c r="H64" s="28"/>
      <c r="I64" s="28"/>
    </row>
    <row r="65">
      <c r="A65" s="28"/>
      <c r="B65" s="28"/>
      <c r="C65" s="28"/>
      <c r="D65" s="28"/>
      <c r="E65" s="28"/>
      <c r="F65" s="28"/>
      <c r="G65" s="28"/>
      <c r="H65" s="28"/>
      <c r="I65" s="28"/>
    </row>
    <row r="66">
      <c r="A66" s="28"/>
      <c r="B66" s="28"/>
      <c r="C66" s="28"/>
      <c r="D66" s="28"/>
      <c r="E66" s="28"/>
      <c r="F66" s="28"/>
      <c r="G66" s="28"/>
      <c r="H66" s="28"/>
      <c r="I66" s="28"/>
    </row>
    <row r="67">
      <c r="A67" s="28"/>
      <c r="B67" s="28"/>
      <c r="C67" s="28"/>
      <c r="D67" s="28"/>
      <c r="E67" s="28"/>
      <c r="F67" s="28"/>
      <c r="G67" s="28"/>
      <c r="H67" s="28"/>
      <c r="I67" s="28"/>
    </row>
    <row r="68">
      <c r="A68" s="28"/>
      <c r="B68" s="28"/>
      <c r="C68" s="28"/>
      <c r="D68" s="28"/>
      <c r="E68" s="28"/>
      <c r="F68" s="28"/>
      <c r="G68" s="28"/>
      <c r="H68" s="28"/>
      <c r="I68" s="28"/>
    </row>
    <row r="69">
      <c r="A69" s="28"/>
      <c r="B69" s="28"/>
      <c r="C69" s="28"/>
      <c r="D69" s="28"/>
      <c r="E69" s="28"/>
      <c r="F69" s="28"/>
      <c r="G69" s="28"/>
      <c r="H69" s="28"/>
      <c r="I69" s="28"/>
    </row>
    <row r="70">
      <c r="A70" s="28"/>
      <c r="B70" s="28"/>
      <c r="C70" s="28"/>
      <c r="D70" s="28"/>
      <c r="E70" s="28"/>
      <c r="F70" s="28"/>
      <c r="G70" s="28"/>
      <c r="H70" s="28"/>
      <c r="I70" s="28"/>
    </row>
    <row r="71">
      <c r="A71" s="28"/>
      <c r="B71" s="28"/>
      <c r="C71" s="28"/>
      <c r="D71" s="28"/>
      <c r="E71" s="28"/>
      <c r="F71" s="28"/>
      <c r="G71" s="28"/>
      <c r="H71" s="28"/>
      <c r="I71" s="28"/>
    </row>
    <row r="72">
      <c r="A72" s="28"/>
      <c r="B72" s="28"/>
      <c r="C72" s="28"/>
      <c r="D72" s="28"/>
      <c r="E72" s="28"/>
      <c r="F72" s="28"/>
      <c r="G72" s="28"/>
      <c r="H72" s="28"/>
      <c r="I72" s="28"/>
    </row>
    <row r="73">
      <c r="A73" s="28"/>
      <c r="B73" s="28"/>
      <c r="C73" s="28"/>
      <c r="D73" s="28"/>
      <c r="E73" s="28"/>
      <c r="F73" s="28"/>
      <c r="G73" s="28"/>
      <c r="H73" s="28"/>
      <c r="I73" s="28"/>
    </row>
    <row r="74">
      <c r="A74" s="28"/>
      <c r="B74" s="28"/>
      <c r="C74" s="28"/>
      <c r="D74" s="28"/>
      <c r="E74" s="28"/>
      <c r="F74" s="28"/>
      <c r="G74" s="28"/>
      <c r="H74" s="28"/>
      <c r="I74" s="28"/>
    </row>
    <row r="75">
      <c r="A75" s="28"/>
      <c r="B75" s="28"/>
      <c r="C75" s="28"/>
      <c r="D75" s="28"/>
      <c r="E75" s="28"/>
      <c r="F75" s="28"/>
      <c r="G75" s="28"/>
      <c r="H75" s="28"/>
      <c r="I75" s="28"/>
    </row>
    <row r="76">
      <c r="A76" s="28"/>
      <c r="B76" s="28"/>
      <c r="C76" s="28"/>
      <c r="D76" s="28"/>
      <c r="E76" s="28"/>
      <c r="F76" s="28"/>
      <c r="G76" s="28"/>
      <c r="H76" s="28"/>
      <c r="I76" s="28"/>
    </row>
    <row r="77">
      <c r="A77" s="28"/>
      <c r="B77" s="28"/>
      <c r="C77" s="28"/>
      <c r="D77" s="28"/>
      <c r="E77" s="28"/>
      <c r="F77" s="28"/>
      <c r="G77" s="28"/>
      <c r="H77" s="28"/>
      <c r="I77" s="28"/>
    </row>
    <row r="78">
      <c r="A78" s="28"/>
      <c r="B78" s="28"/>
      <c r="C78" s="28"/>
      <c r="D78" s="28"/>
      <c r="E78" s="28"/>
      <c r="F78" s="28"/>
      <c r="G78" s="28"/>
      <c r="H78" s="28"/>
      <c r="I78" s="28"/>
    </row>
    <row r="79">
      <c r="A79" s="28"/>
      <c r="B79" s="28"/>
      <c r="C79" s="28"/>
      <c r="D79" s="28"/>
      <c r="E79" s="28"/>
      <c r="F79" s="28"/>
      <c r="G79" s="28"/>
      <c r="H79" s="28"/>
      <c r="I79" s="28"/>
    </row>
    <row r="80">
      <c r="A80" s="28"/>
      <c r="B80" s="28"/>
      <c r="C80" s="28"/>
      <c r="D80" s="28"/>
      <c r="E80" s="28"/>
      <c r="F80" s="28"/>
      <c r="G80" s="28"/>
      <c r="H80" s="28"/>
      <c r="I80" s="28"/>
    </row>
    <row r="81">
      <c r="A81" s="28"/>
      <c r="B81" s="28"/>
      <c r="C81" s="28"/>
      <c r="D81" s="28"/>
      <c r="E81" s="28"/>
      <c r="F81" s="28"/>
      <c r="G81" s="28"/>
      <c r="H81" s="28"/>
      <c r="I81" s="28"/>
    </row>
    <row r="82">
      <c r="A82" s="28"/>
      <c r="B82" s="28"/>
      <c r="C82" s="28"/>
      <c r="D82" s="28"/>
      <c r="E82" s="28"/>
      <c r="F82" s="28"/>
      <c r="G82" s="28"/>
      <c r="H82" s="28"/>
      <c r="I82" s="28"/>
    </row>
    <row r="83">
      <c r="A83" s="28"/>
      <c r="B83" s="28"/>
      <c r="C83" s="28"/>
      <c r="D83" s="28"/>
      <c r="E83" s="28"/>
      <c r="F83" s="28"/>
      <c r="G83" s="28"/>
      <c r="H83" s="28"/>
      <c r="I83" s="28"/>
    </row>
    <row r="84">
      <c r="A84" s="28"/>
      <c r="B84" s="28"/>
      <c r="C84" s="28"/>
      <c r="D84" s="28"/>
      <c r="E84" s="28"/>
      <c r="F84" s="28"/>
      <c r="G84" s="28"/>
      <c r="H84" s="28"/>
      <c r="I84" s="28"/>
    </row>
    <row r="85">
      <c r="A85" s="28"/>
      <c r="B85" s="28"/>
      <c r="C85" s="28"/>
      <c r="D85" s="28"/>
      <c r="E85" s="28"/>
      <c r="F85" s="28"/>
      <c r="G85" s="28"/>
      <c r="H85" s="28"/>
      <c r="I85" s="28"/>
    </row>
    <row r="86">
      <c r="A86" s="28"/>
      <c r="B86" s="28"/>
      <c r="C86" s="28"/>
      <c r="D86" s="28"/>
      <c r="E86" s="28"/>
      <c r="F86" s="28"/>
      <c r="G86" s="28"/>
      <c r="H86" s="28"/>
      <c r="I86" s="28"/>
    </row>
    <row r="87">
      <c r="A87" s="28"/>
      <c r="B87" s="28"/>
      <c r="C87" s="28"/>
      <c r="D87" s="28"/>
      <c r="E87" s="28"/>
      <c r="F87" s="28"/>
      <c r="G87" s="28"/>
      <c r="H87" s="28"/>
      <c r="I87" s="28"/>
    </row>
    <row r="88">
      <c r="A88" s="28"/>
      <c r="B88" s="28"/>
      <c r="C88" s="28"/>
      <c r="D88" s="28"/>
      <c r="E88" s="28"/>
      <c r="F88" s="28"/>
      <c r="G88" s="28"/>
      <c r="H88" s="28"/>
      <c r="I88" s="28"/>
    </row>
    <row r="89">
      <c r="A89" s="28"/>
      <c r="B89" s="28"/>
      <c r="C89" s="28"/>
      <c r="D89" s="28"/>
      <c r="E89" s="28"/>
      <c r="F89" s="28"/>
      <c r="G89" s="28"/>
      <c r="H89" s="28"/>
      <c r="I89" s="28"/>
    </row>
    <row r="90">
      <c r="A90" s="28"/>
      <c r="B90" s="28"/>
      <c r="C90" s="28"/>
      <c r="D90" s="28"/>
      <c r="E90" s="28"/>
      <c r="F90" s="28"/>
      <c r="G90" s="28"/>
      <c r="H90" s="28"/>
      <c r="I90" s="28"/>
    </row>
    <row r="91">
      <c r="A91" s="28"/>
      <c r="B91" s="28"/>
      <c r="C91" s="28"/>
      <c r="D91" s="28"/>
      <c r="E91" s="28"/>
      <c r="F91" s="28"/>
      <c r="G91" s="28"/>
      <c r="H91" s="28"/>
      <c r="I91" s="28"/>
    </row>
    <row r="92">
      <c r="A92" s="28"/>
      <c r="B92" s="28"/>
      <c r="C92" s="28"/>
      <c r="D92" s="28"/>
      <c r="E92" s="28"/>
      <c r="F92" s="28"/>
      <c r="G92" s="28"/>
      <c r="H92" s="28"/>
      <c r="I92" s="28"/>
    </row>
    <row r="93">
      <c r="A93" s="28"/>
      <c r="B93" s="28"/>
      <c r="C93" s="28"/>
      <c r="D93" s="28"/>
      <c r="E93" s="28"/>
      <c r="F93" s="28"/>
      <c r="G93" s="28"/>
      <c r="H93" s="28"/>
      <c r="I93" s="28"/>
    </row>
    <row r="94">
      <c r="A94" s="28"/>
      <c r="B94" s="28"/>
      <c r="C94" s="28"/>
      <c r="D94" s="28"/>
      <c r="E94" s="28"/>
      <c r="F94" s="28"/>
      <c r="G94" s="28"/>
      <c r="H94" s="28"/>
      <c r="I94" s="28"/>
    </row>
    <row r="95">
      <c r="A95" s="28"/>
      <c r="B95" s="28"/>
      <c r="C95" s="28"/>
      <c r="D95" s="28"/>
      <c r="E95" s="28"/>
      <c r="F95" s="28"/>
      <c r="G95" s="28"/>
      <c r="H95" s="28"/>
      <c r="I95" s="28"/>
    </row>
    <row r="96">
      <c r="A96" s="28"/>
      <c r="B96" s="28"/>
      <c r="C96" s="28"/>
      <c r="D96" s="28"/>
      <c r="E96" s="28"/>
      <c r="F96" s="28"/>
      <c r="G96" s="28"/>
      <c r="H96" s="28"/>
      <c r="I96" s="28"/>
    </row>
    <row r="97">
      <c r="A97" s="28"/>
      <c r="B97" s="28"/>
      <c r="C97" s="28"/>
      <c r="D97" s="28"/>
      <c r="E97" s="28"/>
      <c r="F97" s="28"/>
      <c r="G97" s="28"/>
      <c r="H97" s="28"/>
      <c r="I97" s="28"/>
    </row>
    <row r="98">
      <c r="A98" s="28"/>
      <c r="B98" s="28"/>
      <c r="C98" s="28"/>
      <c r="D98" s="28"/>
      <c r="E98" s="28"/>
      <c r="F98" s="28"/>
      <c r="G98" s="28"/>
      <c r="H98" s="28"/>
      <c r="I98" s="28"/>
    </row>
    <row r="99">
      <c r="A99" s="28"/>
      <c r="B99" s="28"/>
      <c r="C99" s="28"/>
      <c r="D99" s="28"/>
      <c r="E99" s="28"/>
      <c r="F99" s="28"/>
      <c r="G99" s="28"/>
      <c r="H99" s="28"/>
      <c r="I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6" t="s">
        <v>178</v>
      </c>
      <c r="B1" s="36" t="s">
        <v>179</v>
      </c>
      <c r="C1" s="36" t="s">
        <v>180</v>
      </c>
      <c r="D1" s="36" t="s">
        <v>181</v>
      </c>
      <c r="E1" s="36" t="s">
        <v>182</v>
      </c>
    </row>
    <row r="2">
      <c r="A2" s="28"/>
      <c r="B2" s="28"/>
      <c r="C2" s="28"/>
      <c r="D2" s="28"/>
      <c r="E2" s="28"/>
    </row>
    <row r="3">
      <c r="A3" s="28"/>
      <c r="B3" s="28"/>
      <c r="C3" s="28"/>
      <c r="D3" s="28"/>
      <c r="E3" s="28"/>
    </row>
    <row r="4">
      <c r="A4" s="28"/>
      <c r="B4" s="28"/>
      <c r="C4" s="28"/>
      <c r="D4" s="28"/>
      <c r="E4" s="28"/>
    </row>
    <row r="5">
      <c r="A5" s="28"/>
      <c r="B5" s="28"/>
      <c r="C5" s="28"/>
      <c r="D5" s="28"/>
      <c r="E5" s="28"/>
    </row>
    <row r="6">
      <c r="A6" s="28"/>
      <c r="B6" s="28"/>
      <c r="C6" s="28"/>
      <c r="D6" s="28"/>
      <c r="E6" s="28"/>
    </row>
    <row r="7">
      <c r="A7" s="28"/>
      <c r="B7" s="28"/>
      <c r="C7" s="28"/>
      <c r="D7" s="28"/>
      <c r="E7" s="28"/>
    </row>
    <row r="8">
      <c r="A8" s="28"/>
      <c r="B8" s="28"/>
      <c r="C8" s="28"/>
      <c r="D8" s="28"/>
      <c r="E8" s="28"/>
    </row>
    <row r="9">
      <c r="A9" s="28"/>
      <c r="B9" s="28"/>
      <c r="C9" s="28"/>
      <c r="D9" s="28"/>
      <c r="E9" s="28"/>
    </row>
    <row r="10">
      <c r="A10" s="28"/>
      <c r="B10" s="28"/>
      <c r="C10" s="28"/>
      <c r="D10" s="28"/>
      <c r="E10" s="28"/>
    </row>
    <row r="11">
      <c r="A11" s="28"/>
      <c r="B11" s="28"/>
      <c r="C11" s="28"/>
      <c r="D11" s="28"/>
      <c r="E11" s="28"/>
    </row>
    <row r="12">
      <c r="A12" s="28"/>
      <c r="B12" s="28"/>
      <c r="C12" s="28"/>
      <c r="D12" s="28"/>
      <c r="E12" s="28"/>
    </row>
    <row r="13">
      <c r="A13" s="28"/>
      <c r="B13" s="28"/>
      <c r="C13" s="28"/>
      <c r="D13" s="28"/>
      <c r="E13" s="28"/>
    </row>
    <row r="14">
      <c r="A14" s="28"/>
      <c r="B14" s="28"/>
      <c r="C14" s="28"/>
      <c r="D14" s="28"/>
      <c r="E14" s="28"/>
    </row>
    <row r="15">
      <c r="A15" s="28"/>
      <c r="B15" s="28"/>
      <c r="C15" s="28"/>
      <c r="D15" s="28"/>
      <c r="E15" s="28"/>
    </row>
    <row r="16">
      <c r="A16" s="28"/>
      <c r="B16" s="28"/>
      <c r="C16" s="28"/>
      <c r="D16" s="28"/>
      <c r="E16" s="28"/>
    </row>
    <row r="17">
      <c r="A17" s="28"/>
      <c r="B17" s="28"/>
      <c r="C17" s="28"/>
      <c r="D17" s="28"/>
      <c r="E17" s="28"/>
    </row>
    <row r="18">
      <c r="A18" s="28"/>
      <c r="B18" s="28"/>
      <c r="C18" s="28"/>
      <c r="D18" s="28"/>
      <c r="E18" s="28"/>
    </row>
    <row r="19">
      <c r="A19" s="28"/>
      <c r="B19" s="28"/>
      <c r="C19" s="28"/>
      <c r="D19" s="28"/>
      <c r="E19" s="28"/>
    </row>
    <row r="20">
      <c r="A20" s="28"/>
      <c r="B20" s="28"/>
      <c r="C20" s="28"/>
      <c r="D20" s="28"/>
      <c r="E20" s="28"/>
    </row>
    <row r="21">
      <c r="A21" s="28"/>
      <c r="B21" s="28"/>
      <c r="C21" s="28"/>
      <c r="D21" s="28"/>
      <c r="E21" s="28"/>
    </row>
    <row r="22">
      <c r="A22" s="28"/>
      <c r="B22" s="28"/>
      <c r="C22" s="28"/>
      <c r="D22" s="28"/>
      <c r="E22" s="28"/>
    </row>
    <row r="23">
      <c r="A23" s="28"/>
      <c r="B23" s="28"/>
      <c r="C23" s="28"/>
      <c r="D23" s="28"/>
      <c r="E23" s="28"/>
    </row>
    <row r="24">
      <c r="A24" s="28"/>
      <c r="B24" s="28"/>
      <c r="C24" s="28"/>
      <c r="D24" s="28"/>
      <c r="E24" s="28"/>
    </row>
    <row r="25">
      <c r="A25" s="28"/>
      <c r="B25" s="28"/>
      <c r="C25" s="28"/>
      <c r="D25" s="28"/>
      <c r="E25" s="28"/>
    </row>
    <row r="26">
      <c r="A26" s="28"/>
      <c r="B26" s="28"/>
      <c r="C26" s="28"/>
      <c r="D26" s="28"/>
      <c r="E26" s="28"/>
    </row>
    <row r="27">
      <c r="A27" s="28"/>
      <c r="B27" s="28"/>
      <c r="C27" s="28"/>
      <c r="D27" s="28"/>
      <c r="E27" s="28"/>
    </row>
    <row r="28">
      <c r="A28" s="28"/>
      <c r="B28" s="28"/>
      <c r="C28" s="28"/>
      <c r="D28" s="28"/>
      <c r="E28" s="28"/>
    </row>
    <row r="29">
      <c r="A29" s="28"/>
      <c r="B29" s="28"/>
      <c r="C29" s="28"/>
      <c r="D29" s="28"/>
      <c r="E29" s="28"/>
    </row>
    <row r="30">
      <c r="A30" s="28"/>
      <c r="B30" s="28"/>
      <c r="C30" s="28"/>
      <c r="D30" s="28"/>
      <c r="E30" s="28"/>
    </row>
    <row r="31">
      <c r="A31" s="28"/>
      <c r="B31" s="28"/>
      <c r="C31" s="28"/>
      <c r="D31" s="28"/>
      <c r="E31" s="28"/>
    </row>
    <row r="32">
      <c r="A32" s="28"/>
      <c r="B32" s="28"/>
      <c r="C32" s="28"/>
      <c r="D32" s="28"/>
      <c r="E32" s="28"/>
    </row>
    <row r="33">
      <c r="A33" s="28"/>
      <c r="B33" s="28"/>
      <c r="C33" s="28"/>
      <c r="D33" s="28"/>
      <c r="E33" s="28"/>
    </row>
    <row r="34">
      <c r="A34" s="28"/>
      <c r="B34" s="28"/>
      <c r="C34" s="28"/>
      <c r="D34" s="28"/>
      <c r="E34" s="28"/>
    </row>
    <row r="35">
      <c r="A35" s="28"/>
      <c r="B35" s="28"/>
      <c r="C35" s="28"/>
      <c r="D35" s="28"/>
      <c r="E35" s="28"/>
    </row>
    <row r="36">
      <c r="A36" s="28"/>
      <c r="B36" s="28"/>
      <c r="C36" s="28"/>
      <c r="D36" s="28"/>
      <c r="E36" s="28"/>
    </row>
    <row r="37">
      <c r="A37" s="28"/>
      <c r="B37" s="28"/>
      <c r="C37" s="28"/>
      <c r="D37" s="28"/>
      <c r="E37" s="28"/>
    </row>
    <row r="38">
      <c r="A38" s="28"/>
      <c r="B38" s="28"/>
      <c r="C38" s="28"/>
      <c r="D38" s="28"/>
      <c r="E38" s="28"/>
    </row>
    <row r="39">
      <c r="A39" s="28"/>
      <c r="B39" s="28"/>
      <c r="C39" s="28"/>
      <c r="D39" s="28"/>
      <c r="E39" s="28"/>
    </row>
    <row r="40">
      <c r="A40" s="28"/>
      <c r="B40" s="28"/>
      <c r="C40" s="28"/>
      <c r="D40" s="28"/>
      <c r="E40" s="28"/>
    </row>
    <row r="41">
      <c r="A41" s="28"/>
      <c r="B41" s="28"/>
      <c r="C41" s="28"/>
      <c r="D41" s="28"/>
      <c r="E41" s="28"/>
    </row>
    <row r="42">
      <c r="A42" s="28"/>
      <c r="B42" s="28"/>
      <c r="C42" s="28"/>
      <c r="D42" s="28"/>
      <c r="E42" s="28"/>
    </row>
    <row r="43">
      <c r="A43" s="28"/>
      <c r="B43" s="28"/>
      <c r="C43" s="28"/>
      <c r="D43" s="28"/>
      <c r="E43" s="28"/>
    </row>
    <row r="44">
      <c r="A44" s="28"/>
      <c r="B44" s="28"/>
      <c r="C44" s="28"/>
      <c r="D44" s="28"/>
      <c r="E44" s="28"/>
    </row>
    <row r="45">
      <c r="A45" s="28"/>
      <c r="B45" s="28"/>
      <c r="C45" s="28"/>
      <c r="D45" s="28"/>
      <c r="E45" s="28"/>
    </row>
    <row r="46">
      <c r="A46" s="28"/>
      <c r="B46" s="28"/>
      <c r="C46" s="28"/>
      <c r="D46" s="28"/>
      <c r="E46" s="28"/>
    </row>
    <row r="47">
      <c r="A47" s="28"/>
      <c r="B47" s="28"/>
      <c r="C47" s="28"/>
      <c r="D47" s="28"/>
      <c r="E47" s="28"/>
    </row>
    <row r="48">
      <c r="A48" s="28"/>
      <c r="B48" s="28"/>
      <c r="C48" s="28"/>
      <c r="D48" s="28"/>
      <c r="E48" s="28"/>
    </row>
    <row r="49">
      <c r="A49" s="28"/>
      <c r="B49" s="28"/>
      <c r="C49" s="28"/>
      <c r="D49" s="28"/>
      <c r="E49" s="28"/>
    </row>
    <row r="50">
      <c r="A50" s="28"/>
      <c r="B50" s="28"/>
      <c r="C50" s="28"/>
      <c r="D50" s="28"/>
      <c r="E50" s="28"/>
    </row>
    <row r="51">
      <c r="A51" s="28"/>
      <c r="B51" s="28"/>
      <c r="C51" s="28"/>
      <c r="D51" s="28"/>
      <c r="E51" s="28"/>
    </row>
    <row r="52">
      <c r="A52" s="28"/>
      <c r="B52" s="28"/>
      <c r="C52" s="28"/>
      <c r="D52" s="28"/>
      <c r="E52" s="28"/>
    </row>
    <row r="53">
      <c r="A53" s="28"/>
      <c r="B53" s="28"/>
      <c r="C53" s="28"/>
      <c r="D53" s="28"/>
      <c r="E53" s="28"/>
    </row>
    <row r="54">
      <c r="A54" s="28"/>
      <c r="B54" s="28"/>
      <c r="C54" s="28"/>
      <c r="D54" s="28"/>
      <c r="E54" s="28"/>
    </row>
    <row r="55">
      <c r="A55" s="28"/>
      <c r="B55" s="28"/>
      <c r="C55" s="28"/>
      <c r="D55" s="28"/>
      <c r="E55" s="28"/>
    </row>
    <row r="56">
      <c r="A56" s="28"/>
      <c r="B56" s="28"/>
      <c r="C56" s="28"/>
      <c r="D56" s="28"/>
      <c r="E56" s="28"/>
    </row>
    <row r="57">
      <c r="A57" s="28"/>
      <c r="B57" s="28"/>
      <c r="C57" s="28"/>
      <c r="D57" s="28"/>
      <c r="E57" s="28"/>
    </row>
    <row r="58">
      <c r="A58" s="28"/>
      <c r="B58" s="28"/>
      <c r="C58" s="28"/>
      <c r="D58" s="28"/>
      <c r="E58" s="28"/>
    </row>
    <row r="59">
      <c r="A59" s="28"/>
      <c r="B59" s="28"/>
      <c r="C59" s="28"/>
      <c r="D59" s="28"/>
      <c r="E59" s="28"/>
    </row>
    <row r="60">
      <c r="A60" s="28"/>
      <c r="B60" s="28"/>
      <c r="C60" s="28"/>
      <c r="D60" s="28"/>
      <c r="E60" s="28"/>
    </row>
    <row r="61">
      <c r="A61" s="28"/>
      <c r="B61" s="28"/>
      <c r="C61" s="28"/>
      <c r="D61" s="28"/>
      <c r="E61" s="28"/>
    </row>
    <row r="62">
      <c r="A62" s="28"/>
      <c r="B62" s="28"/>
      <c r="C62" s="28"/>
      <c r="D62" s="28"/>
      <c r="E62" s="28"/>
    </row>
    <row r="63">
      <c r="A63" s="28"/>
      <c r="B63" s="28"/>
      <c r="C63" s="28"/>
      <c r="D63" s="28"/>
      <c r="E63" s="28"/>
    </row>
    <row r="64">
      <c r="A64" s="28"/>
      <c r="B64" s="28"/>
      <c r="C64" s="28"/>
      <c r="D64" s="28"/>
      <c r="E64" s="28"/>
    </row>
    <row r="65">
      <c r="A65" s="28"/>
      <c r="B65" s="28"/>
      <c r="C65" s="28"/>
      <c r="D65" s="28"/>
      <c r="E65" s="28"/>
    </row>
    <row r="66">
      <c r="A66" s="28"/>
      <c r="B66" s="28"/>
      <c r="C66" s="28"/>
      <c r="D66" s="28"/>
      <c r="E66" s="28"/>
    </row>
    <row r="67">
      <c r="A67" s="28"/>
      <c r="B67" s="28"/>
      <c r="C67" s="28"/>
      <c r="D67" s="28"/>
      <c r="E67" s="28"/>
    </row>
    <row r="68">
      <c r="A68" s="28"/>
      <c r="B68" s="28"/>
      <c r="C68" s="28"/>
      <c r="D68" s="28"/>
      <c r="E68" s="28"/>
    </row>
    <row r="69">
      <c r="A69" s="28"/>
      <c r="B69" s="28"/>
      <c r="C69" s="28"/>
      <c r="D69" s="28"/>
      <c r="E69" s="28"/>
    </row>
    <row r="70">
      <c r="A70" s="28"/>
      <c r="B70" s="28"/>
      <c r="C70" s="28"/>
      <c r="D70" s="28"/>
      <c r="E70" s="28"/>
    </row>
    <row r="71">
      <c r="A71" s="28"/>
      <c r="B71" s="28"/>
      <c r="C71" s="28"/>
      <c r="D71" s="28"/>
      <c r="E71" s="28"/>
    </row>
    <row r="72">
      <c r="A72" s="28"/>
      <c r="B72" s="28"/>
      <c r="C72" s="28"/>
      <c r="D72" s="28"/>
      <c r="E72" s="28"/>
    </row>
    <row r="73">
      <c r="A73" s="28"/>
      <c r="B73" s="28"/>
      <c r="C73" s="28"/>
      <c r="D73" s="28"/>
      <c r="E73" s="28"/>
    </row>
    <row r="74">
      <c r="A74" s="28"/>
      <c r="B74" s="28"/>
      <c r="C74" s="28"/>
      <c r="D74" s="28"/>
      <c r="E74" s="28"/>
    </row>
    <row r="75">
      <c r="A75" s="28"/>
      <c r="B75" s="28"/>
      <c r="C75" s="28"/>
      <c r="D75" s="28"/>
      <c r="E75" s="28"/>
    </row>
    <row r="76">
      <c r="A76" s="28"/>
      <c r="B76" s="28"/>
      <c r="C76" s="28"/>
      <c r="D76" s="28"/>
      <c r="E76" s="28"/>
    </row>
    <row r="77">
      <c r="A77" s="28"/>
      <c r="B77" s="28"/>
      <c r="C77" s="28"/>
      <c r="D77" s="28"/>
      <c r="E77" s="28"/>
    </row>
    <row r="78">
      <c r="A78" s="28"/>
      <c r="B78" s="28"/>
      <c r="C78" s="28"/>
      <c r="D78" s="28"/>
      <c r="E78" s="28"/>
    </row>
    <row r="79">
      <c r="A79" s="28"/>
      <c r="B79" s="28"/>
      <c r="C79" s="28"/>
      <c r="D79" s="28"/>
      <c r="E79" s="28"/>
    </row>
    <row r="80">
      <c r="A80" s="28"/>
      <c r="B80" s="28"/>
      <c r="C80" s="28"/>
      <c r="D80" s="28"/>
      <c r="E80" s="28"/>
    </row>
    <row r="81">
      <c r="A81" s="28"/>
      <c r="B81" s="28"/>
      <c r="C81" s="28"/>
      <c r="D81" s="28"/>
      <c r="E81" s="28"/>
    </row>
    <row r="82">
      <c r="A82" s="28"/>
      <c r="B82" s="28"/>
      <c r="C82" s="28"/>
      <c r="D82" s="28"/>
      <c r="E82" s="28"/>
    </row>
    <row r="83">
      <c r="A83" s="28"/>
      <c r="B83" s="28"/>
      <c r="C83" s="28"/>
      <c r="D83" s="28"/>
      <c r="E83" s="28"/>
    </row>
    <row r="84">
      <c r="A84" s="28"/>
      <c r="B84" s="28"/>
      <c r="C84" s="28"/>
      <c r="D84" s="28"/>
      <c r="E84" s="28"/>
    </row>
    <row r="85">
      <c r="A85" s="28"/>
      <c r="B85" s="28"/>
      <c r="C85" s="28"/>
      <c r="D85" s="28"/>
      <c r="E85" s="28"/>
    </row>
    <row r="86">
      <c r="A86" s="28"/>
      <c r="B86" s="28"/>
      <c r="C86" s="28"/>
      <c r="D86" s="28"/>
      <c r="E86" s="28"/>
    </row>
    <row r="87">
      <c r="A87" s="28"/>
      <c r="B87" s="28"/>
      <c r="C87" s="28"/>
      <c r="D87" s="28"/>
      <c r="E87" s="28"/>
    </row>
    <row r="88">
      <c r="A88" s="28"/>
      <c r="B88" s="28"/>
      <c r="C88" s="28"/>
      <c r="D88" s="28"/>
      <c r="E88" s="28"/>
    </row>
    <row r="89">
      <c r="A89" s="28"/>
      <c r="B89" s="28"/>
      <c r="C89" s="28"/>
      <c r="D89" s="28"/>
      <c r="E89" s="28"/>
    </row>
    <row r="90">
      <c r="A90" s="28"/>
      <c r="B90" s="28"/>
      <c r="C90" s="28"/>
      <c r="D90" s="28"/>
      <c r="E90" s="28"/>
    </row>
    <row r="91">
      <c r="A91" s="28"/>
      <c r="B91" s="28"/>
      <c r="C91" s="28"/>
      <c r="D91" s="28"/>
      <c r="E91" s="28"/>
    </row>
    <row r="92">
      <c r="A92" s="28"/>
      <c r="B92" s="28"/>
      <c r="C92" s="28"/>
      <c r="D92" s="28"/>
      <c r="E92" s="28"/>
    </row>
    <row r="93">
      <c r="A93" s="28"/>
      <c r="B93" s="28"/>
      <c r="C93" s="28"/>
      <c r="D93" s="28"/>
      <c r="E93" s="28"/>
    </row>
    <row r="94">
      <c r="A94" s="28"/>
      <c r="B94" s="28"/>
      <c r="C94" s="28"/>
      <c r="D94" s="28"/>
      <c r="E94" s="28"/>
    </row>
    <row r="95">
      <c r="A95" s="28"/>
      <c r="B95" s="28"/>
      <c r="C95" s="28"/>
      <c r="D95" s="28"/>
      <c r="E95" s="28"/>
    </row>
    <row r="96">
      <c r="A96" s="28"/>
      <c r="B96" s="28"/>
      <c r="C96" s="28"/>
      <c r="D96" s="28"/>
      <c r="E96" s="28"/>
    </row>
    <row r="97">
      <c r="A97" s="28"/>
      <c r="B97" s="28"/>
      <c r="C97" s="28"/>
      <c r="D97" s="28"/>
      <c r="E97" s="28"/>
    </row>
    <row r="98">
      <c r="A98" s="28"/>
      <c r="B98" s="28"/>
      <c r="C98" s="28"/>
      <c r="D98" s="28"/>
      <c r="E98" s="28"/>
    </row>
    <row r="99">
      <c r="A99" s="28"/>
      <c r="B99" s="28"/>
      <c r="C99" s="28"/>
      <c r="D99" s="28"/>
      <c r="E99" s="28"/>
    </row>
    <row r="100">
      <c r="A100" s="28"/>
      <c r="B100" s="28"/>
      <c r="C100" s="28"/>
      <c r="D100" s="28"/>
      <c r="E100" s="28"/>
    </row>
    <row r="101">
      <c r="A101" s="28"/>
      <c r="B101" s="28"/>
      <c r="C101" s="28"/>
      <c r="D101" s="28"/>
      <c r="E101" s="28"/>
    </row>
    <row r="102">
      <c r="A102" s="28"/>
      <c r="B102" s="28"/>
      <c r="C102" s="28"/>
      <c r="D102" s="28"/>
      <c r="E102" s="28"/>
    </row>
    <row r="103">
      <c r="A103" s="28"/>
      <c r="B103" s="28"/>
      <c r="C103" s="28"/>
      <c r="D103" s="28"/>
      <c r="E103" s="28"/>
    </row>
    <row r="104">
      <c r="A104" s="28"/>
      <c r="B104" s="28"/>
      <c r="C104" s="28"/>
      <c r="D104" s="28"/>
      <c r="E104" s="28"/>
    </row>
    <row r="105">
      <c r="A105" s="28"/>
      <c r="B105" s="28"/>
      <c r="C105" s="28"/>
      <c r="D105" s="28"/>
      <c r="E105" s="28"/>
    </row>
    <row r="106">
      <c r="A106" s="28"/>
      <c r="B106" s="28"/>
      <c r="C106" s="28"/>
      <c r="D106" s="28"/>
      <c r="E106" s="28"/>
    </row>
    <row r="107">
      <c r="A107" s="28"/>
      <c r="B107" s="28"/>
      <c r="C107" s="28"/>
      <c r="D107" s="28"/>
      <c r="E107" s="28"/>
    </row>
    <row r="108">
      <c r="A108" s="28"/>
      <c r="B108" s="28"/>
      <c r="C108" s="28"/>
      <c r="D108" s="28"/>
      <c r="E108" s="28"/>
    </row>
    <row r="109">
      <c r="A109" s="28"/>
      <c r="B109" s="28"/>
      <c r="C109" s="28"/>
      <c r="D109" s="28"/>
      <c r="E109" s="28"/>
    </row>
    <row r="110">
      <c r="A110" s="28"/>
      <c r="B110" s="28"/>
      <c r="C110" s="28"/>
      <c r="D110" s="28"/>
      <c r="E110" s="28"/>
    </row>
    <row r="111">
      <c r="A111" s="28"/>
      <c r="B111" s="28"/>
      <c r="C111" s="28"/>
      <c r="D111" s="28"/>
      <c r="E111" s="28"/>
    </row>
    <row r="112">
      <c r="A112" s="28"/>
      <c r="B112" s="28"/>
      <c r="C112" s="28"/>
      <c r="D112" s="28"/>
      <c r="E112" s="28"/>
    </row>
    <row r="113">
      <c r="A113" s="28"/>
      <c r="B113" s="28"/>
      <c r="C113" s="28"/>
      <c r="D113" s="28"/>
      <c r="E113" s="28"/>
    </row>
    <row r="114">
      <c r="A114" s="28"/>
      <c r="B114" s="28"/>
      <c r="C114" s="28"/>
      <c r="D114" s="28"/>
      <c r="E114" s="28"/>
    </row>
    <row r="115">
      <c r="A115" s="28"/>
      <c r="B115" s="28"/>
      <c r="C115" s="28"/>
      <c r="D115" s="28"/>
      <c r="E115" s="28"/>
    </row>
    <row r="116">
      <c r="A116" s="28"/>
      <c r="B116" s="28"/>
      <c r="C116" s="28"/>
      <c r="D116" s="28"/>
      <c r="E116" s="28"/>
    </row>
    <row r="117">
      <c r="A117" s="28"/>
      <c r="B117" s="28"/>
      <c r="C117" s="28"/>
      <c r="D117" s="28"/>
      <c r="E117" s="28"/>
    </row>
    <row r="118">
      <c r="A118" s="28"/>
      <c r="B118" s="28"/>
      <c r="C118" s="28"/>
      <c r="D118" s="28"/>
      <c r="E118" s="28"/>
    </row>
    <row r="119">
      <c r="A119" s="28"/>
      <c r="B119" s="28"/>
      <c r="C119" s="28"/>
      <c r="D119" s="28"/>
      <c r="E119" s="28"/>
    </row>
    <row r="120">
      <c r="A120" s="28"/>
      <c r="B120" s="28"/>
      <c r="C120" s="28"/>
      <c r="D120" s="28"/>
      <c r="E120" s="28"/>
    </row>
    <row r="121">
      <c r="A121" s="28"/>
      <c r="B121" s="28"/>
      <c r="C121" s="28"/>
      <c r="D121" s="28"/>
      <c r="E121" s="28"/>
    </row>
    <row r="122">
      <c r="A122" s="28"/>
      <c r="B122" s="28"/>
      <c r="C122" s="28"/>
      <c r="D122" s="28"/>
      <c r="E122" s="28"/>
    </row>
    <row r="123">
      <c r="A123" s="28"/>
      <c r="B123" s="28"/>
      <c r="C123" s="28"/>
      <c r="D123" s="28"/>
      <c r="E123" s="28"/>
    </row>
    <row r="124">
      <c r="A124" s="28"/>
      <c r="B124" s="28"/>
      <c r="C124" s="28"/>
      <c r="D124" s="28"/>
      <c r="E124" s="28"/>
    </row>
    <row r="125">
      <c r="A125" s="28"/>
      <c r="B125" s="28"/>
      <c r="C125" s="28"/>
      <c r="D125" s="28"/>
      <c r="E125" s="28"/>
    </row>
    <row r="126">
      <c r="A126" s="28"/>
      <c r="B126" s="28"/>
      <c r="C126" s="28"/>
      <c r="D126" s="28"/>
      <c r="E126" s="28"/>
    </row>
    <row r="127">
      <c r="A127" s="28"/>
      <c r="B127" s="28"/>
      <c r="C127" s="28"/>
      <c r="D127" s="28"/>
      <c r="E127" s="28"/>
    </row>
    <row r="128">
      <c r="A128" s="28"/>
      <c r="B128" s="28"/>
      <c r="C128" s="28"/>
      <c r="D128" s="28"/>
      <c r="E128" s="28"/>
    </row>
    <row r="129">
      <c r="A129" s="28"/>
      <c r="B129" s="28"/>
      <c r="C129" s="28"/>
      <c r="D129" s="28"/>
      <c r="E129" s="28"/>
    </row>
    <row r="130">
      <c r="A130" s="28"/>
      <c r="B130" s="28"/>
      <c r="C130" s="28"/>
      <c r="D130" s="28"/>
      <c r="E130" s="28"/>
    </row>
    <row r="131">
      <c r="A131" s="28"/>
      <c r="B131" s="28"/>
      <c r="C131" s="28"/>
      <c r="D131" s="28"/>
      <c r="E131" s="28"/>
    </row>
    <row r="132">
      <c r="A132" s="28"/>
      <c r="B132" s="28"/>
      <c r="C132" s="28"/>
      <c r="D132" s="28"/>
      <c r="E132" s="28"/>
    </row>
    <row r="133">
      <c r="A133" s="28"/>
      <c r="B133" s="28"/>
      <c r="C133" s="28"/>
      <c r="D133" s="28"/>
      <c r="E133" s="28"/>
    </row>
    <row r="134">
      <c r="A134" s="28"/>
      <c r="B134" s="28"/>
      <c r="C134" s="28"/>
      <c r="D134" s="28"/>
      <c r="E134" s="28"/>
    </row>
    <row r="135">
      <c r="A135" s="28"/>
      <c r="B135" s="28"/>
      <c r="C135" s="28"/>
      <c r="D135" s="28"/>
      <c r="E135" s="28"/>
    </row>
    <row r="136">
      <c r="A136" s="28"/>
      <c r="B136" s="28"/>
      <c r="C136" s="28"/>
      <c r="D136" s="28"/>
      <c r="E136" s="28"/>
    </row>
    <row r="137">
      <c r="A137" s="28"/>
      <c r="B137" s="28"/>
      <c r="C137" s="28"/>
      <c r="D137" s="28"/>
      <c r="E137" s="28"/>
    </row>
    <row r="138">
      <c r="A138" s="28"/>
      <c r="B138" s="28"/>
      <c r="C138" s="28"/>
      <c r="D138" s="28"/>
      <c r="E138" s="28"/>
    </row>
    <row r="139">
      <c r="A139" s="28"/>
      <c r="B139" s="28"/>
      <c r="C139" s="28"/>
      <c r="D139" s="28"/>
      <c r="E139" s="28"/>
    </row>
    <row r="140">
      <c r="A140" s="28"/>
      <c r="B140" s="28"/>
      <c r="C140" s="28"/>
      <c r="D140" s="28"/>
      <c r="E140" s="28"/>
    </row>
    <row r="141">
      <c r="A141" s="28"/>
      <c r="B141" s="28"/>
      <c r="C141" s="28"/>
      <c r="D141" s="28"/>
      <c r="E141" s="28"/>
    </row>
    <row r="142">
      <c r="A142" s="28"/>
      <c r="B142" s="28"/>
      <c r="C142" s="28"/>
      <c r="D142" s="28"/>
      <c r="E142" s="28"/>
    </row>
    <row r="143">
      <c r="A143" s="28"/>
      <c r="B143" s="28"/>
      <c r="C143" s="28"/>
      <c r="D143" s="28"/>
      <c r="E143" s="28"/>
    </row>
    <row r="144">
      <c r="A144" s="28"/>
      <c r="B144" s="28"/>
      <c r="C144" s="28"/>
      <c r="D144" s="28"/>
      <c r="E144" s="28"/>
    </row>
    <row r="145">
      <c r="A145" s="28"/>
      <c r="B145" s="28"/>
      <c r="C145" s="28"/>
      <c r="D145" s="28"/>
      <c r="E145" s="28"/>
    </row>
    <row r="146">
      <c r="A146" s="28"/>
      <c r="B146" s="28"/>
      <c r="C146" s="28"/>
      <c r="D146" s="28"/>
      <c r="E146" s="28"/>
    </row>
    <row r="147">
      <c r="A147" s="28"/>
      <c r="B147" s="28"/>
      <c r="C147" s="28"/>
      <c r="D147" s="28"/>
      <c r="E147" s="28"/>
    </row>
    <row r="148">
      <c r="A148" s="28"/>
      <c r="B148" s="28"/>
      <c r="C148" s="28"/>
      <c r="D148" s="28"/>
      <c r="E148" s="28"/>
    </row>
    <row r="149">
      <c r="A149" s="28"/>
      <c r="B149" s="28"/>
      <c r="C149" s="28"/>
      <c r="D149" s="28"/>
      <c r="E149" s="28"/>
    </row>
    <row r="150">
      <c r="A150" s="28"/>
      <c r="B150" s="28"/>
      <c r="C150" s="28"/>
      <c r="D150" s="28"/>
      <c r="E150" s="28"/>
    </row>
    <row r="151">
      <c r="A151" s="28"/>
      <c r="B151" s="28"/>
      <c r="C151" s="28"/>
      <c r="D151" s="28"/>
      <c r="E151" s="28"/>
    </row>
    <row r="152">
      <c r="A152" s="28"/>
      <c r="B152" s="28"/>
      <c r="C152" s="28"/>
      <c r="D152" s="28"/>
      <c r="E152" s="28"/>
    </row>
    <row r="153">
      <c r="A153" s="28"/>
      <c r="B153" s="28"/>
      <c r="C153" s="28"/>
      <c r="D153" s="28"/>
      <c r="E153" s="28"/>
    </row>
    <row r="154">
      <c r="A154" s="28"/>
      <c r="B154" s="28"/>
      <c r="C154" s="28"/>
      <c r="D154" s="28"/>
      <c r="E154" s="28"/>
    </row>
    <row r="155">
      <c r="A155" s="28"/>
      <c r="B155" s="28"/>
      <c r="C155" s="28"/>
      <c r="D155" s="28"/>
      <c r="E155" s="28"/>
    </row>
    <row r="156">
      <c r="A156" s="28"/>
      <c r="B156" s="28"/>
      <c r="C156" s="28"/>
      <c r="D156" s="28"/>
      <c r="E156" s="28"/>
    </row>
    <row r="157">
      <c r="A157" s="28"/>
      <c r="B157" s="28"/>
      <c r="C157" s="28"/>
      <c r="D157" s="28"/>
      <c r="E157" s="28"/>
    </row>
    <row r="158">
      <c r="A158" s="28"/>
      <c r="B158" s="28"/>
      <c r="C158" s="28"/>
      <c r="D158" s="28"/>
      <c r="E158" s="28"/>
    </row>
    <row r="159">
      <c r="A159" s="28"/>
      <c r="B159" s="28"/>
      <c r="C159" s="28"/>
      <c r="D159" s="28"/>
      <c r="E159" s="28"/>
    </row>
    <row r="160">
      <c r="A160" s="28"/>
      <c r="B160" s="28"/>
      <c r="C160" s="28"/>
      <c r="D160" s="28"/>
      <c r="E160" s="28"/>
    </row>
    <row r="161">
      <c r="A161" s="28"/>
      <c r="B161" s="28"/>
      <c r="C161" s="28"/>
      <c r="D161" s="28"/>
      <c r="E161" s="28"/>
    </row>
    <row r="162">
      <c r="A162" s="28"/>
      <c r="B162" s="28"/>
      <c r="C162" s="28"/>
      <c r="D162" s="28"/>
      <c r="E162" s="28"/>
    </row>
    <row r="163">
      <c r="A163" s="28"/>
      <c r="B163" s="28"/>
      <c r="C163" s="28"/>
      <c r="D163" s="28"/>
      <c r="E163" s="28"/>
    </row>
    <row r="164">
      <c r="A164" s="28"/>
      <c r="B164" s="28"/>
      <c r="C164" s="28"/>
      <c r="D164" s="28"/>
      <c r="E164" s="28"/>
    </row>
    <row r="165">
      <c r="A165" s="28"/>
      <c r="B165" s="28"/>
      <c r="C165" s="28"/>
      <c r="D165" s="28"/>
      <c r="E165" s="28"/>
    </row>
    <row r="166">
      <c r="A166" s="28"/>
      <c r="B166" s="28"/>
      <c r="C166" s="28"/>
      <c r="D166" s="28"/>
      <c r="E166" s="28"/>
    </row>
    <row r="167">
      <c r="A167" s="28"/>
      <c r="B167" s="28"/>
      <c r="C167" s="28"/>
      <c r="D167" s="28"/>
      <c r="E167" s="28"/>
    </row>
    <row r="168">
      <c r="A168" s="28"/>
      <c r="B168" s="28"/>
      <c r="C168" s="28"/>
      <c r="D168" s="28"/>
      <c r="E168" s="28"/>
    </row>
    <row r="169">
      <c r="A169" s="28"/>
      <c r="B169" s="28"/>
      <c r="C169" s="28"/>
      <c r="D169" s="28"/>
      <c r="E169" s="28"/>
    </row>
    <row r="170">
      <c r="A170" s="28"/>
      <c r="B170" s="28"/>
      <c r="C170" s="28"/>
      <c r="D170" s="28"/>
      <c r="E170" s="28"/>
    </row>
    <row r="171">
      <c r="A171" s="28"/>
      <c r="B171" s="28"/>
      <c r="C171" s="28"/>
      <c r="D171" s="28"/>
      <c r="E171" s="28"/>
    </row>
    <row r="172">
      <c r="A172" s="28"/>
      <c r="B172" s="28"/>
      <c r="C172" s="28"/>
      <c r="D172" s="28"/>
      <c r="E172" s="28"/>
    </row>
    <row r="173">
      <c r="A173" s="28"/>
      <c r="B173" s="28"/>
      <c r="C173" s="28"/>
      <c r="D173" s="28"/>
      <c r="E173" s="28"/>
    </row>
    <row r="174">
      <c r="A174" s="28"/>
      <c r="B174" s="28"/>
      <c r="C174" s="28"/>
      <c r="D174" s="28"/>
      <c r="E174" s="28"/>
    </row>
    <row r="175">
      <c r="A175" s="28"/>
      <c r="B175" s="28"/>
      <c r="C175" s="28"/>
      <c r="D175" s="28"/>
      <c r="E175" s="28"/>
    </row>
    <row r="176">
      <c r="A176" s="28"/>
      <c r="B176" s="28"/>
      <c r="C176" s="28"/>
      <c r="D176" s="28"/>
      <c r="E176" s="28"/>
    </row>
    <row r="177">
      <c r="A177" s="28"/>
      <c r="B177" s="28"/>
      <c r="C177" s="28"/>
      <c r="D177" s="28"/>
      <c r="E177" s="28"/>
    </row>
    <row r="178">
      <c r="A178" s="28"/>
      <c r="B178" s="28"/>
      <c r="C178" s="28"/>
      <c r="D178" s="28"/>
      <c r="E178" s="28"/>
    </row>
    <row r="179">
      <c r="A179" s="28"/>
      <c r="B179" s="28"/>
      <c r="C179" s="28"/>
      <c r="D179" s="28"/>
      <c r="E179" s="28"/>
    </row>
    <row r="180">
      <c r="A180" s="28"/>
      <c r="B180" s="28"/>
      <c r="C180" s="28"/>
      <c r="D180" s="28"/>
      <c r="E180" s="28"/>
    </row>
    <row r="181">
      <c r="A181" s="28"/>
      <c r="B181" s="28"/>
      <c r="C181" s="28"/>
      <c r="D181" s="28"/>
      <c r="E181" s="28"/>
    </row>
    <row r="182">
      <c r="A182" s="28"/>
      <c r="B182" s="28"/>
      <c r="C182" s="28"/>
      <c r="D182" s="28"/>
      <c r="E182" s="28"/>
    </row>
    <row r="183">
      <c r="A183" s="28"/>
      <c r="B183" s="28"/>
      <c r="C183" s="28"/>
      <c r="D183" s="28"/>
      <c r="E183" s="28"/>
    </row>
    <row r="184">
      <c r="A184" s="28"/>
      <c r="B184" s="28"/>
      <c r="C184" s="28"/>
      <c r="D184" s="28"/>
      <c r="E184" s="28"/>
    </row>
    <row r="185">
      <c r="A185" s="28"/>
      <c r="B185" s="28"/>
      <c r="C185" s="28"/>
      <c r="D185" s="28"/>
      <c r="E185" s="28"/>
    </row>
    <row r="186">
      <c r="A186" s="28"/>
      <c r="B186" s="28"/>
      <c r="C186" s="28"/>
      <c r="D186" s="28"/>
      <c r="E186" s="28"/>
    </row>
    <row r="187">
      <c r="A187" s="28"/>
      <c r="B187" s="28"/>
      <c r="C187" s="28"/>
      <c r="D187" s="28"/>
      <c r="E187" s="28"/>
    </row>
    <row r="188">
      <c r="A188" s="28"/>
      <c r="B188" s="28"/>
      <c r="C188" s="28"/>
      <c r="D188" s="28"/>
      <c r="E188" s="28"/>
    </row>
    <row r="189">
      <c r="A189" s="28"/>
      <c r="B189" s="28"/>
      <c r="C189" s="28"/>
      <c r="D189" s="28"/>
      <c r="E189" s="28"/>
    </row>
    <row r="190">
      <c r="A190" s="28"/>
      <c r="B190" s="28"/>
      <c r="C190" s="28"/>
      <c r="D190" s="28"/>
      <c r="E190" s="28"/>
    </row>
    <row r="191">
      <c r="A191" s="28"/>
      <c r="B191" s="28"/>
      <c r="C191" s="28"/>
      <c r="D191" s="28"/>
      <c r="E191" s="28"/>
    </row>
    <row r="192">
      <c r="A192" s="28"/>
      <c r="B192" s="28"/>
      <c r="C192" s="28"/>
      <c r="D192" s="28"/>
      <c r="E192" s="28"/>
    </row>
    <row r="193">
      <c r="A193" s="28"/>
      <c r="B193" s="28"/>
      <c r="C193" s="28"/>
      <c r="D193" s="28"/>
      <c r="E193" s="28"/>
    </row>
    <row r="194">
      <c r="A194" s="28"/>
      <c r="B194" s="28"/>
      <c r="C194" s="28"/>
      <c r="D194" s="28"/>
      <c r="E194" s="28"/>
    </row>
    <row r="195">
      <c r="A195" s="28"/>
      <c r="B195" s="28"/>
      <c r="C195" s="28"/>
      <c r="D195" s="28"/>
      <c r="E195" s="28"/>
    </row>
    <row r="196">
      <c r="A196" s="28"/>
      <c r="B196" s="28"/>
      <c r="C196" s="28"/>
      <c r="D196" s="28"/>
      <c r="E196" s="28"/>
    </row>
    <row r="197">
      <c r="A197" s="28"/>
      <c r="B197" s="28"/>
      <c r="C197" s="28"/>
      <c r="D197" s="28"/>
      <c r="E197" s="28"/>
    </row>
    <row r="198">
      <c r="A198" s="28"/>
      <c r="B198" s="28"/>
      <c r="C198" s="28"/>
      <c r="D198" s="28"/>
      <c r="E198" s="28"/>
    </row>
    <row r="199">
      <c r="A199" s="28"/>
      <c r="B199" s="28"/>
      <c r="C199" s="28"/>
      <c r="D199" s="28"/>
      <c r="E199" s="28"/>
    </row>
    <row r="200">
      <c r="A200" s="28"/>
      <c r="B200" s="28"/>
      <c r="C200" s="28"/>
      <c r="D200" s="28"/>
      <c r="E200" s="28"/>
    </row>
    <row r="201">
      <c r="A201" s="28"/>
      <c r="B201" s="28"/>
      <c r="C201" s="28"/>
      <c r="D201" s="28"/>
      <c r="E201" s="28"/>
    </row>
    <row r="202">
      <c r="A202" s="28"/>
      <c r="B202" s="28"/>
      <c r="C202" s="28"/>
      <c r="D202" s="28"/>
      <c r="E202" s="28"/>
    </row>
    <row r="203">
      <c r="A203" s="28"/>
      <c r="B203" s="28"/>
      <c r="C203" s="28"/>
      <c r="D203" s="28"/>
      <c r="E203" s="28"/>
    </row>
    <row r="204">
      <c r="A204" s="28"/>
      <c r="B204" s="28"/>
      <c r="C204" s="28"/>
      <c r="D204" s="28"/>
      <c r="E204" s="28"/>
    </row>
    <row r="205">
      <c r="A205" s="28"/>
      <c r="B205" s="28"/>
      <c r="C205" s="28"/>
      <c r="D205" s="28"/>
      <c r="E205" s="28"/>
    </row>
    <row r="206">
      <c r="A206" s="28"/>
      <c r="B206" s="28"/>
      <c r="C206" s="28"/>
      <c r="D206" s="28"/>
      <c r="E206" s="28"/>
    </row>
    <row r="207">
      <c r="A207" s="28"/>
      <c r="B207" s="28"/>
      <c r="C207" s="28"/>
      <c r="D207" s="28"/>
      <c r="E207" s="28"/>
    </row>
    <row r="208">
      <c r="A208" s="28"/>
      <c r="B208" s="28"/>
      <c r="C208" s="28"/>
      <c r="D208" s="28"/>
      <c r="E208" s="28"/>
    </row>
    <row r="209">
      <c r="A209" s="28"/>
      <c r="B209" s="28"/>
      <c r="C209" s="28"/>
      <c r="D209" s="28"/>
      <c r="E209" s="28"/>
    </row>
    <row r="210">
      <c r="A210" s="28"/>
      <c r="B210" s="28"/>
      <c r="C210" s="28"/>
      <c r="D210" s="28"/>
      <c r="E210" s="28"/>
    </row>
    <row r="211">
      <c r="A211" s="28"/>
      <c r="B211" s="28"/>
      <c r="C211" s="28"/>
      <c r="D211" s="28"/>
      <c r="E211" s="28"/>
    </row>
    <row r="212">
      <c r="A212" s="28"/>
      <c r="B212" s="28"/>
      <c r="C212" s="28"/>
      <c r="D212" s="28"/>
      <c r="E212" s="28"/>
    </row>
    <row r="213">
      <c r="A213" s="28"/>
      <c r="B213" s="28"/>
      <c r="C213" s="28"/>
      <c r="D213" s="28"/>
      <c r="E213" s="28"/>
    </row>
    <row r="214">
      <c r="A214" s="28"/>
      <c r="B214" s="28"/>
      <c r="C214" s="28"/>
      <c r="D214" s="28"/>
      <c r="E214" s="28"/>
    </row>
    <row r="215">
      <c r="A215" s="28"/>
      <c r="B215" s="28"/>
      <c r="C215" s="28"/>
      <c r="D215" s="28"/>
      <c r="E215" s="28"/>
    </row>
    <row r="216">
      <c r="A216" s="28"/>
      <c r="B216" s="28"/>
      <c r="C216" s="28"/>
      <c r="D216" s="28"/>
      <c r="E216" s="28"/>
    </row>
    <row r="217">
      <c r="A217" s="28"/>
      <c r="B217" s="28"/>
      <c r="C217" s="28"/>
      <c r="D217" s="28"/>
      <c r="E217" s="28"/>
    </row>
    <row r="218">
      <c r="A218" s="28"/>
      <c r="B218" s="28"/>
      <c r="C218" s="28"/>
      <c r="D218" s="28"/>
      <c r="E218" s="28"/>
    </row>
    <row r="219">
      <c r="A219" s="28"/>
      <c r="B219" s="28"/>
      <c r="C219" s="28"/>
      <c r="D219" s="28"/>
      <c r="E219" s="28"/>
    </row>
    <row r="220">
      <c r="A220" s="28"/>
      <c r="B220" s="28"/>
      <c r="C220" s="28"/>
      <c r="D220" s="28"/>
      <c r="E220" s="28"/>
    </row>
    <row r="221">
      <c r="A221" s="28"/>
      <c r="B221" s="28"/>
      <c r="C221" s="28"/>
      <c r="D221" s="28"/>
      <c r="E221" s="28"/>
    </row>
    <row r="222">
      <c r="A222" s="28"/>
      <c r="B222" s="28"/>
      <c r="C222" s="28"/>
      <c r="D222" s="28"/>
      <c r="E222" s="28"/>
    </row>
    <row r="223">
      <c r="A223" s="28"/>
      <c r="B223" s="28"/>
      <c r="C223" s="28"/>
      <c r="D223" s="28"/>
      <c r="E223" s="28"/>
    </row>
    <row r="224">
      <c r="A224" s="28"/>
      <c r="B224" s="28"/>
      <c r="C224" s="28"/>
      <c r="D224" s="28"/>
      <c r="E224" s="28"/>
    </row>
    <row r="225">
      <c r="A225" s="28"/>
      <c r="B225" s="28"/>
      <c r="C225" s="28"/>
      <c r="D225" s="28"/>
      <c r="E225" s="28"/>
    </row>
    <row r="226">
      <c r="A226" s="28"/>
      <c r="B226" s="28"/>
      <c r="C226" s="28"/>
      <c r="D226" s="28"/>
      <c r="E226" s="28"/>
    </row>
    <row r="227">
      <c r="A227" s="28"/>
      <c r="B227" s="28"/>
      <c r="C227" s="28"/>
      <c r="D227" s="28"/>
      <c r="E227" s="28"/>
    </row>
    <row r="228">
      <c r="A228" s="28"/>
      <c r="B228" s="28"/>
      <c r="C228" s="28"/>
      <c r="D228" s="28"/>
      <c r="E228" s="28"/>
    </row>
    <row r="229">
      <c r="A229" s="28"/>
      <c r="B229" s="28"/>
      <c r="C229" s="28"/>
      <c r="D229" s="28"/>
      <c r="E229" s="28"/>
    </row>
    <row r="230">
      <c r="A230" s="28"/>
      <c r="B230" s="28"/>
      <c r="C230" s="28"/>
      <c r="D230" s="28"/>
      <c r="E230" s="28"/>
    </row>
    <row r="231">
      <c r="A231" s="28"/>
      <c r="B231" s="28"/>
      <c r="C231" s="28"/>
      <c r="D231" s="28"/>
      <c r="E231" s="28"/>
    </row>
    <row r="232">
      <c r="A232" s="28"/>
      <c r="B232" s="28"/>
      <c r="C232" s="28"/>
      <c r="D232" s="28"/>
      <c r="E232" s="28"/>
    </row>
    <row r="233">
      <c r="A233" s="28"/>
      <c r="B233" s="28"/>
      <c r="C233" s="28"/>
      <c r="D233" s="28"/>
      <c r="E233" s="28"/>
    </row>
    <row r="234">
      <c r="A234" s="28"/>
      <c r="B234" s="28"/>
      <c r="C234" s="28"/>
      <c r="D234" s="28"/>
      <c r="E234" s="28"/>
    </row>
    <row r="235">
      <c r="A235" s="28"/>
      <c r="B235" s="28"/>
      <c r="C235" s="28"/>
      <c r="D235" s="28"/>
      <c r="E235" s="28"/>
    </row>
    <row r="236">
      <c r="A236" s="28"/>
      <c r="B236" s="28"/>
      <c r="C236" s="28"/>
      <c r="D236" s="28"/>
      <c r="E236" s="28"/>
    </row>
    <row r="237">
      <c r="A237" s="28"/>
      <c r="B237" s="28"/>
      <c r="C237" s="28"/>
      <c r="D237" s="28"/>
      <c r="E237" s="28"/>
    </row>
    <row r="238">
      <c r="A238" s="28"/>
      <c r="B238" s="28"/>
      <c r="C238" s="28"/>
      <c r="D238" s="28"/>
      <c r="E238" s="28"/>
    </row>
    <row r="239">
      <c r="A239" s="28"/>
      <c r="B239" s="28"/>
      <c r="C239" s="28"/>
      <c r="D239" s="28"/>
      <c r="E239" s="28"/>
    </row>
    <row r="240">
      <c r="A240" s="28"/>
      <c r="B240" s="28"/>
      <c r="C240" s="28"/>
      <c r="D240" s="28"/>
      <c r="E240" s="28"/>
    </row>
    <row r="241">
      <c r="A241" s="28"/>
      <c r="B241" s="28"/>
      <c r="C241" s="28"/>
      <c r="D241" s="28"/>
      <c r="E241" s="28"/>
    </row>
    <row r="242">
      <c r="A242" s="28"/>
      <c r="B242" s="28"/>
      <c r="C242" s="28"/>
      <c r="D242" s="28"/>
      <c r="E242" s="28"/>
    </row>
    <row r="243">
      <c r="A243" s="28"/>
      <c r="B243" s="28"/>
      <c r="C243" s="28"/>
      <c r="D243" s="28"/>
      <c r="E243" s="28"/>
    </row>
    <row r="244">
      <c r="A244" s="28"/>
      <c r="B244" s="28"/>
      <c r="C244" s="28"/>
      <c r="D244" s="28"/>
      <c r="E244" s="28"/>
    </row>
    <row r="245">
      <c r="A245" s="28"/>
      <c r="B245" s="28"/>
      <c r="C245" s="28"/>
      <c r="D245" s="28"/>
      <c r="E245" s="28"/>
    </row>
    <row r="246">
      <c r="A246" s="28"/>
      <c r="B246" s="28"/>
      <c r="C246" s="28"/>
      <c r="D246" s="28"/>
      <c r="E246" s="28"/>
    </row>
    <row r="247">
      <c r="A247" s="28"/>
      <c r="B247" s="28"/>
      <c r="C247" s="28"/>
      <c r="D247" s="28"/>
      <c r="E247" s="28"/>
    </row>
    <row r="248">
      <c r="A248" s="28"/>
      <c r="B248" s="28"/>
      <c r="C248" s="28"/>
      <c r="D248" s="28"/>
      <c r="E248" s="28"/>
    </row>
    <row r="249">
      <c r="A249" s="28"/>
      <c r="B249" s="28"/>
      <c r="C249" s="28"/>
      <c r="D249" s="28"/>
      <c r="E249" s="28"/>
    </row>
    <row r="250">
      <c r="A250" s="28"/>
      <c r="B250" s="28"/>
      <c r="C250" s="28"/>
      <c r="D250" s="28"/>
      <c r="E250" s="28"/>
    </row>
    <row r="251">
      <c r="A251" s="28"/>
      <c r="B251" s="28"/>
      <c r="C251" s="28"/>
      <c r="D251" s="28"/>
      <c r="E251" s="28"/>
    </row>
    <row r="252">
      <c r="A252" s="28"/>
      <c r="B252" s="28"/>
      <c r="C252" s="28"/>
      <c r="D252" s="28"/>
      <c r="E252" s="28"/>
    </row>
    <row r="253">
      <c r="A253" s="28"/>
      <c r="B253" s="28"/>
      <c r="C253" s="28"/>
      <c r="D253" s="28"/>
      <c r="E253" s="28"/>
    </row>
    <row r="254">
      <c r="A254" s="28"/>
      <c r="B254" s="28"/>
      <c r="C254" s="28"/>
      <c r="D254" s="28"/>
      <c r="E254" s="28"/>
    </row>
    <row r="255">
      <c r="A255" s="28"/>
      <c r="B255" s="28"/>
      <c r="C255" s="28"/>
      <c r="D255" s="28"/>
      <c r="E255" s="28"/>
    </row>
    <row r="256">
      <c r="A256" s="28"/>
      <c r="B256" s="28"/>
      <c r="C256" s="28"/>
      <c r="D256" s="28"/>
      <c r="E256" s="28"/>
    </row>
    <row r="257">
      <c r="A257" s="28"/>
      <c r="B257" s="28"/>
      <c r="C257" s="28"/>
      <c r="D257" s="28"/>
      <c r="E257" s="28"/>
    </row>
    <row r="258">
      <c r="A258" s="28"/>
      <c r="B258" s="28"/>
      <c r="C258" s="28"/>
      <c r="D258" s="28"/>
      <c r="E258" s="28"/>
    </row>
    <row r="259">
      <c r="A259" s="28"/>
      <c r="B259" s="28"/>
      <c r="C259" s="28"/>
      <c r="D259" s="28"/>
      <c r="E259" s="28"/>
    </row>
    <row r="260">
      <c r="A260" s="28"/>
      <c r="B260" s="28"/>
      <c r="C260" s="28"/>
      <c r="D260" s="28"/>
      <c r="E260" s="28"/>
    </row>
    <row r="261">
      <c r="A261" s="28"/>
      <c r="B261" s="28"/>
      <c r="C261" s="28"/>
      <c r="D261" s="28"/>
      <c r="E261" s="28"/>
    </row>
    <row r="262">
      <c r="A262" s="28"/>
      <c r="B262" s="28"/>
      <c r="C262" s="28"/>
      <c r="D262" s="28"/>
      <c r="E262" s="28"/>
    </row>
    <row r="263">
      <c r="A263" s="28"/>
      <c r="B263" s="28"/>
      <c r="C263" s="28"/>
      <c r="D263" s="28"/>
      <c r="E263" s="28"/>
    </row>
    <row r="264">
      <c r="A264" s="28"/>
      <c r="B264" s="28"/>
      <c r="C264" s="28"/>
      <c r="D264" s="28"/>
      <c r="E264" s="28"/>
    </row>
    <row r="265">
      <c r="A265" s="28"/>
      <c r="B265" s="28"/>
      <c r="C265" s="28"/>
      <c r="D265" s="28"/>
      <c r="E265" s="28"/>
    </row>
    <row r="266">
      <c r="A266" s="28"/>
      <c r="B266" s="28"/>
      <c r="C266" s="28"/>
      <c r="D266" s="28"/>
      <c r="E266" s="28"/>
    </row>
    <row r="267">
      <c r="A267" s="28"/>
      <c r="B267" s="28"/>
      <c r="C267" s="28"/>
      <c r="D267" s="28"/>
      <c r="E267" s="28"/>
    </row>
    <row r="268">
      <c r="A268" s="28"/>
      <c r="B268" s="28"/>
      <c r="C268" s="28"/>
      <c r="D268" s="28"/>
      <c r="E268" s="28"/>
    </row>
    <row r="269">
      <c r="A269" s="28"/>
      <c r="B269" s="28"/>
      <c r="C269" s="28"/>
      <c r="D269" s="28"/>
      <c r="E269" s="28"/>
    </row>
    <row r="270">
      <c r="A270" s="28"/>
      <c r="B270" s="28"/>
      <c r="C270" s="28"/>
      <c r="D270" s="28"/>
      <c r="E270" s="28"/>
    </row>
    <row r="271">
      <c r="A271" s="28"/>
      <c r="B271" s="28"/>
      <c r="C271" s="28"/>
      <c r="D271" s="28"/>
      <c r="E271" s="28"/>
    </row>
    <row r="272">
      <c r="A272" s="28"/>
      <c r="B272" s="28"/>
      <c r="C272" s="28"/>
      <c r="D272" s="28"/>
      <c r="E272" s="28"/>
    </row>
    <row r="273">
      <c r="A273" s="28"/>
      <c r="B273" s="28"/>
      <c r="C273" s="28"/>
      <c r="D273" s="28"/>
      <c r="E273" s="28"/>
    </row>
    <row r="274">
      <c r="A274" s="28"/>
      <c r="B274" s="28"/>
      <c r="C274" s="28"/>
      <c r="D274" s="28"/>
      <c r="E274" s="28"/>
    </row>
    <row r="275">
      <c r="A275" s="28"/>
      <c r="B275" s="28"/>
      <c r="C275" s="28"/>
      <c r="D275" s="28"/>
      <c r="E275" s="28"/>
    </row>
    <row r="276">
      <c r="A276" s="28"/>
      <c r="B276" s="28"/>
      <c r="C276" s="28"/>
      <c r="D276" s="28"/>
      <c r="E276" s="28"/>
    </row>
    <row r="277">
      <c r="A277" s="28"/>
      <c r="B277" s="28"/>
      <c r="C277" s="28"/>
      <c r="D277" s="28"/>
      <c r="E277" s="28"/>
    </row>
    <row r="278">
      <c r="A278" s="28"/>
      <c r="B278" s="28"/>
      <c r="C278" s="28"/>
      <c r="D278" s="28"/>
      <c r="E278" s="28"/>
    </row>
    <row r="279">
      <c r="A279" s="28"/>
      <c r="B279" s="28"/>
      <c r="C279" s="28"/>
      <c r="D279" s="28"/>
      <c r="E279" s="28"/>
    </row>
    <row r="280">
      <c r="A280" s="28"/>
      <c r="B280" s="28"/>
      <c r="C280" s="28"/>
      <c r="D280" s="28"/>
      <c r="E280" s="28"/>
    </row>
    <row r="281">
      <c r="A281" s="28"/>
      <c r="B281" s="28"/>
      <c r="C281" s="28"/>
      <c r="D281" s="28"/>
      <c r="E281" s="28"/>
    </row>
    <row r="282">
      <c r="A282" s="28"/>
      <c r="B282" s="28"/>
      <c r="C282" s="28"/>
      <c r="D282" s="28"/>
      <c r="E282" s="28"/>
    </row>
    <row r="283">
      <c r="A283" s="28"/>
      <c r="B283" s="28"/>
      <c r="C283" s="28"/>
      <c r="D283" s="28"/>
      <c r="E283" s="28"/>
    </row>
    <row r="284">
      <c r="A284" s="28"/>
      <c r="B284" s="28"/>
      <c r="C284" s="28"/>
      <c r="D284" s="28"/>
      <c r="E284" s="28"/>
    </row>
    <row r="285">
      <c r="A285" s="28"/>
      <c r="B285" s="28"/>
      <c r="C285" s="28"/>
      <c r="D285" s="28"/>
      <c r="E285" s="28"/>
    </row>
    <row r="286">
      <c r="A286" s="28"/>
      <c r="B286" s="28"/>
      <c r="C286" s="28"/>
      <c r="D286" s="28"/>
      <c r="E286" s="28"/>
    </row>
    <row r="287">
      <c r="A287" s="28"/>
      <c r="B287" s="28"/>
      <c r="C287" s="28"/>
      <c r="D287" s="28"/>
      <c r="E287" s="28"/>
    </row>
    <row r="288">
      <c r="A288" s="28"/>
      <c r="B288" s="28"/>
      <c r="C288" s="28"/>
      <c r="D288" s="28"/>
      <c r="E288" s="28"/>
    </row>
    <row r="289">
      <c r="A289" s="28"/>
      <c r="B289" s="28"/>
      <c r="C289" s="28"/>
      <c r="D289" s="28"/>
      <c r="E289" s="28"/>
    </row>
    <row r="290">
      <c r="A290" s="28"/>
      <c r="B290" s="28"/>
      <c r="C290" s="28"/>
      <c r="D290" s="28"/>
      <c r="E290" s="28"/>
    </row>
    <row r="291">
      <c r="A291" s="28"/>
      <c r="B291" s="28"/>
      <c r="C291" s="28"/>
      <c r="D291" s="28"/>
      <c r="E291" s="28"/>
    </row>
    <row r="292">
      <c r="A292" s="28"/>
      <c r="B292" s="28"/>
      <c r="C292" s="28"/>
      <c r="D292" s="28"/>
      <c r="E292" s="28"/>
    </row>
    <row r="293">
      <c r="A293" s="28"/>
      <c r="B293" s="28"/>
      <c r="C293" s="28"/>
      <c r="D293" s="28"/>
      <c r="E293" s="28"/>
    </row>
    <row r="294">
      <c r="A294" s="28"/>
      <c r="B294" s="28"/>
      <c r="C294" s="28"/>
      <c r="D294" s="28"/>
      <c r="E294" s="28"/>
    </row>
    <row r="295">
      <c r="A295" s="28"/>
      <c r="B295" s="28"/>
      <c r="C295" s="28"/>
      <c r="D295" s="28"/>
      <c r="E295" s="28"/>
    </row>
    <row r="296">
      <c r="A296" s="28"/>
      <c r="B296" s="28"/>
      <c r="C296" s="28"/>
      <c r="D296" s="28"/>
      <c r="E296" s="28"/>
    </row>
    <row r="297">
      <c r="A297" s="28"/>
      <c r="B297" s="28"/>
      <c r="C297" s="28"/>
      <c r="D297" s="28"/>
      <c r="E297" s="28"/>
    </row>
    <row r="298">
      <c r="A298" s="28"/>
      <c r="B298" s="28"/>
      <c r="C298" s="28"/>
      <c r="D298" s="28"/>
      <c r="E298" s="28"/>
    </row>
    <row r="299">
      <c r="A299" s="28"/>
      <c r="B299" s="28"/>
      <c r="C299" s="28"/>
      <c r="D299" s="28"/>
      <c r="E299" s="28"/>
    </row>
    <row r="300">
      <c r="A300" s="28"/>
      <c r="B300" s="28"/>
      <c r="C300" s="28"/>
      <c r="D300" s="28"/>
      <c r="E300" s="28"/>
    </row>
    <row r="301">
      <c r="A301" s="28"/>
      <c r="B301" s="28"/>
      <c r="C301" s="28"/>
      <c r="D301" s="28"/>
      <c r="E301" s="28"/>
    </row>
    <row r="302">
      <c r="A302" s="28"/>
      <c r="B302" s="28"/>
      <c r="C302" s="28"/>
      <c r="D302" s="28"/>
      <c r="E302" s="28"/>
    </row>
    <row r="303">
      <c r="A303" s="28"/>
      <c r="B303" s="28"/>
      <c r="C303" s="28"/>
      <c r="D303" s="28"/>
      <c r="E303" s="28"/>
    </row>
    <row r="304">
      <c r="A304" s="28"/>
      <c r="B304" s="28"/>
      <c r="C304" s="28"/>
      <c r="D304" s="28"/>
      <c r="E304" s="28"/>
    </row>
    <row r="305">
      <c r="A305" s="28"/>
      <c r="B305" s="28"/>
      <c r="C305" s="28"/>
      <c r="D305" s="28"/>
      <c r="E305" s="28"/>
    </row>
    <row r="306">
      <c r="A306" s="28"/>
      <c r="B306" s="28"/>
      <c r="C306" s="28"/>
      <c r="D306" s="28"/>
      <c r="E306" s="28"/>
    </row>
    <row r="307">
      <c r="A307" s="28"/>
      <c r="B307" s="28"/>
      <c r="C307" s="28"/>
      <c r="D307" s="28"/>
      <c r="E307" s="28"/>
    </row>
    <row r="308">
      <c r="A308" s="28"/>
      <c r="B308" s="28"/>
      <c r="C308" s="28"/>
      <c r="D308" s="28"/>
      <c r="E308" s="28"/>
    </row>
    <row r="309">
      <c r="A309" s="28"/>
      <c r="B309" s="28"/>
      <c r="C309" s="28"/>
      <c r="D309" s="28"/>
      <c r="E309" s="28"/>
    </row>
    <row r="310">
      <c r="A310" s="28"/>
      <c r="B310" s="28"/>
      <c r="C310" s="28"/>
      <c r="D310" s="28"/>
      <c r="E310" s="28"/>
    </row>
    <row r="311">
      <c r="A311" s="28"/>
      <c r="B311" s="28"/>
      <c r="C311" s="28"/>
      <c r="D311" s="28"/>
      <c r="E311" s="28"/>
    </row>
    <row r="312">
      <c r="A312" s="28"/>
      <c r="B312" s="28"/>
      <c r="C312" s="28"/>
      <c r="D312" s="28"/>
      <c r="E312" s="28"/>
    </row>
    <row r="313">
      <c r="A313" s="28"/>
      <c r="B313" s="28"/>
      <c r="C313" s="28"/>
      <c r="D313" s="28"/>
      <c r="E313" s="28"/>
    </row>
    <row r="314">
      <c r="A314" s="28"/>
      <c r="B314" s="28"/>
      <c r="C314" s="28"/>
      <c r="D314" s="28"/>
      <c r="E314" s="28"/>
    </row>
    <row r="315">
      <c r="A315" s="28"/>
      <c r="B315" s="28"/>
      <c r="C315" s="28"/>
      <c r="D315" s="28"/>
      <c r="E315" s="28"/>
    </row>
    <row r="316">
      <c r="A316" s="28"/>
      <c r="B316" s="28"/>
      <c r="C316" s="28"/>
      <c r="D316" s="28"/>
      <c r="E316" s="28"/>
    </row>
    <row r="317">
      <c r="A317" s="28"/>
      <c r="B317" s="28"/>
      <c r="C317" s="28"/>
      <c r="D317" s="28"/>
      <c r="E317" s="28"/>
    </row>
    <row r="318">
      <c r="A318" s="28"/>
      <c r="B318" s="28"/>
      <c r="C318" s="28"/>
      <c r="D318" s="28"/>
      <c r="E318" s="28"/>
    </row>
    <row r="319">
      <c r="A319" s="28"/>
      <c r="B319" s="28"/>
      <c r="C319" s="28"/>
      <c r="D319" s="28"/>
      <c r="E319" s="28"/>
    </row>
    <row r="320">
      <c r="A320" s="28"/>
      <c r="B320" s="28"/>
      <c r="C320" s="28"/>
      <c r="D320" s="28"/>
      <c r="E320" s="28"/>
    </row>
    <row r="321">
      <c r="A321" s="28"/>
      <c r="B321" s="28"/>
      <c r="C321" s="28"/>
      <c r="D321" s="28"/>
      <c r="E321" s="28"/>
    </row>
    <row r="322">
      <c r="A322" s="28"/>
      <c r="B322" s="28"/>
      <c r="C322" s="28"/>
      <c r="D322" s="28"/>
      <c r="E322" s="28"/>
    </row>
    <row r="323">
      <c r="A323" s="28"/>
      <c r="B323" s="28"/>
      <c r="C323" s="28"/>
      <c r="D323" s="28"/>
      <c r="E323" s="28"/>
    </row>
    <row r="324">
      <c r="A324" s="28"/>
      <c r="B324" s="28"/>
      <c r="C324" s="28"/>
      <c r="D324" s="28"/>
      <c r="E324" s="28"/>
    </row>
    <row r="325">
      <c r="A325" s="28"/>
      <c r="B325" s="28"/>
      <c r="C325" s="28"/>
      <c r="D325" s="28"/>
      <c r="E325" s="28"/>
    </row>
    <row r="326">
      <c r="A326" s="28"/>
      <c r="B326" s="28"/>
      <c r="C326" s="28"/>
      <c r="D326" s="28"/>
      <c r="E326" s="28"/>
    </row>
    <row r="327">
      <c r="A327" s="28"/>
      <c r="B327" s="28"/>
      <c r="C327" s="28"/>
      <c r="D327" s="28"/>
      <c r="E327" s="28"/>
    </row>
    <row r="328">
      <c r="A328" s="28"/>
      <c r="B328" s="28"/>
      <c r="C328" s="28"/>
      <c r="D328" s="28"/>
      <c r="E328" s="28"/>
    </row>
    <row r="329">
      <c r="A329" s="28"/>
      <c r="B329" s="28"/>
      <c r="C329" s="28"/>
      <c r="D329" s="28"/>
      <c r="E329" s="28"/>
    </row>
    <row r="330">
      <c r="A330" s="28"/>
      <c r="B330" s="28"/>
      <c r="C330" s="28"/>
      <c r="D330" s="28"/>
      <c r="E330" s="28"/>
    </row>
    <row r="331">
      <c r="A331" s="28"/>
      <c r="B331" s="28"/>
      <c r="C331" s="28"/>
      <c r="D331" s="28"/>
      <c r="E331" s="28"/>
    </row>
    <row r="332">
      <c r="A332" s="28"/>
      <c r="B332" s="28"/>
      <c r="C332" s="28"/>
      <c r="D332" s="28"/>
      <c r="E332" s="28"/>
    </row>
    <row r="333">
      <c r="A333" s="28"/>
      <c r="B333" s="28"/>
      <c r="C333" s="28"/>
      <c r="D333" s="28"/>
      <c r="E333" s="28"/>
    </row>
    <row r="334">
      <c r="A334" s="28"/>
      <c r="B334" s="28"/>
      <c r="C334" s="28"/>
      <c r="D334" s="28"/>
      <c r="E334" s="28"/>
    </row>
    <row r="335">
      <c r="A335" s="28"/>
      <c r="B335" s="28"/>
      <c r="C335" s="28"/>
      <c r="D335" s="28"/>
      <c r="E335" s="28"/>
    </row>
    <row r="336">
      <c r="A336" s="28"/>
      <c r="B336" s="28"/>
      <c r="C336" s="28"/>
      <c r="D336" s="28"/>
      <c r="E336" s="28"/>
    </row>
    <row r="337">
      <c r="A337" s="28"/>
      <c r="B337" s="28"/>
      <c r="C337" s="28"/>
      <c r="D337" s="28"/>
      <c r="E337" s="28"/>
    </row>
    <row r="338">
      <c r="A338" s="28"/>
      <c r="B338" s="28"/>
      <c r="C338" s="28"/>
      <c r="D338" s="28"/>
      <c r="E338" s="28"/>
    </row>
    <row r="339">
      <c r="A339" s="28"/>
      <c r="B339" s="28"/>
      <c r="C339" s="28"/>
      <c r="D339" s="28"/>
      <c r="E339" s="28"/>
    </row>
    <row r="340">
      <c r="A340" s="28"/>
      <c r="B340" s="28"/>
      <c r="C340" s="28"/>
      <c r="D340" s="28"/>
      <c r="E340" s="28"/>
    </row>
    <row r="341">
      <c r="A341" s="28"/>
      <c r="B341" s="28"/>
      <c r="C341" s="28"/>
      <c r="D341" s="28"/>
      <c r="E341" s="28"/>
    </row>
    <row r="342">
      <c r="A342" s="28"/>
      <c r="B342" s="28"/>
      <c r="C342" s="28"/>
      <c r="D342" s="28"/>
      <c r="E342" s="28"/>
    </row>
    <row r="343">
      <c r="A343" s="28"/>
      <c r="B343" s="28"/>
      <c r="C343" s="28"/>
      <c r="D343" s="28"/>
      <c r="E343" s="28"/>
    </row>
    <row r="344">
      <c r="A344" s="28"/>
      <c r="B344" s="28"/>
      <c r="C344" s="28"/>
      <c r="D344" s="28"/>
      <c r="E344" s="28"/>
    </row>
    <row r="345">
      <c r="A345" s="28"/>
      <c r="B345" s="28"/>
      <c r="C345" s="28"/>
      <c r="D345" s="28"/>
      <c r="E345" s="28"/>
    </row>
    <row r="346">
      <c r="A346" s="28"/>
      <c r="B346" s="28"/>
      <c r="C346" s="28"/>
      <c r="D346" s="28"/>
      <c r="E346" s="28"/>
    </row>
    <row r="347">
      <c r="A347" s="28"/>
      <c r="B347" s="28"/>
      <c r="C347" s="28"/>
      <c r="D347" s="28"/>
      <c r="E347" s="28"/>
    </row>
    <row r="348">
      <c r="A348" s="28"/>
      <c r="B348" s="28"/>
      <c r="C348" s="28"/>
      <c r="D348" s="28"/>
      <c r="E348" s="28"/>
    </row>
    <row r="349">
      <c r="A349" s="28"/>
      <c r="B349" s="28"/>
      <c r="C349" s="28"/>
      <c r="D349" s="28"/>
      <c r="E349" s="28"/>
    </row>
    <row r="350">
      <c r="A350" s="28"/>
      <c r="B350" s="28"/>
      <c r="C350" s="28"/>
      <c r="D350" s="28"/>
      <c r="E350" s="28"/>
    </row>
    <row r="351">
      <c r="A351" s="28"/>
      <c r="B351" s="28"/>
      <c r="C351" s="28"/>
      <c r="D351" s="28"/>
      <c r="E351" s="28"/>
    </row>
    <row r="352">
      <c r="A352" s="28"/>
      <c r="B352" s="28"/>
      <c r="C352" s="28"/>
      <c r="D352" s="28"/>
      <c r="E352" s="28"/>
    </row>
    <row r="353">
      <c r="A353" s="28"/>
      <c r="B353" s="28"/>
      <c r="C353" s="28"/>
      <c r="D353" s="28"/>
      <c r="E353" s="28"/>
    </row>
    <row r="354">
      <c r="A354" s="28"/>
      <c r="B354" s="28"/>
      <c r="C354" s="28"/>
      <c r="D354" s="28"/>
      <c r="E354" s="28"/>
    </row>
    <row r="355">
      <c r="A355" s="28"/>
      <c r="B355" s="28"/>
      <c r="C355" s="28"/>
      <c r="D355" s="28"/>
      <c r="E355" s="28"/>
    </row>
    <row r="356">
      <c r="A356" s="28"/>
      <c r="B356" s="28"/>
      <c r="C356" s="28"/>
      <c r="D356" s="28"/>
      <c r="E356" s="28"/>
    </row>
    <row r="357">
      <c r="A357" s="28"/>
      <c r="B357" s="28"/>
      <c r="C357" s="28"/>
      <c r="D357" s="28"/>
      <c r="E357" s="28"/>
    </row>
    <row r="358">
      <c r="A358" s="28"/>
      <c r="B358" s="28"/>
      <c r="C358" s="28"/>
      <c r="D358" s="28"/>
      <c r="E358" s="28"/>
    </row>
    <row r="359">
      <c r="A359" s="28"/>
      <c r="B359" s="28"/>
      <c r="C359" s="28"/>
      <c r="D359" s="28"/>
      <c r="E359" s="28"/>
    </row>
    <row r="360">
      <c r="A360" s="28"/>
      <c r="B360" s="28"/>
      <c r="C360" s="28"/>
      <c r="D360" s="28"/>
      <c r="E360" s="28"/>
    </row>
    <row r="361">
      <c r="A361" s="28"/>
      <c r="B361" s="28"/>
      <c r="C361" s="28"/>
      <c r="D361" s="28"/>
      <c r="E361" s="28"/>
    </row>
    <row r="362">
      <c r="A362" s="28"/>
      <c r="B362" s="28"/>
      <c r="C362" s="28"/>
      <c r="D362" s="28"/>
      <c r="E362" s="28"/>
    </row>
    <row r="363">
      <c r="A363" s="28"/>
      <c r="B363" s="28"/>
      <c r="C363" s="28"/>
      <c r="D363" s="28"/>
      <c r="E363" s="28"/>
    </row>
    <row r="364">
      <c r="A364" s="28"/>
      <c r="B364" s="28"/>
      <c r="C364" s="28"/>
      <c r="D364" s="28"/>
      <c r="E364" s="28"/>
    </row>
    <row r="365">
      <c r="A365" s="28"/>
      <c r="B365" s="28"/>
      <c r="C365" s="28"/>
      <c r="D365" s="28"/>
      <c r="E365" s="28"/>
    </row>
    <row r="366">
      <c r="A366" s="28"/>
      <c r="B366" s="28"/>
      <c r="C366" s="28"/>
      <c r="D366" s="28"/>
      <c r="E366" s="28"/>
    </row>
    <row r="367">
      <c r="A367" s="28"/>
      <c r="B367" s="28"/>
      <c r="C367" s="28"/>
      <c r="D367" s="28"/>
      <c r="E367" s="28"/>
    </row>
    <row r="368">
      <c r="A368" s="28"/>
      <c r="B368" s="28"/>
      <c r="C368" s="28"/>
      <c r="D368" s="28"/>
      <c r="E368" s="28"/>
    </row>
    <row r="369">
      <c r="A369" s="28"/>
      <c r="B369" s="28"/>
      <c r="C369" s="28"/>
      <c r="D369" s="28"/>
      <c r="E369" s="28"/>
    </row>
    <row r="370">
      <c r="A370" s="28"/>
      <c r="B370" s="28"/>
      <c r="C370" s="28"/>
      <c r="D370" s="28"/>
      <c r="E370" s="28"/>
    </row>
    <row r="371">
      <c r="A371" s="28"/>
      <c r="B371" s="28"/>
      <c r="C371" s="28"/>
      <c r="D371" s="28"/>
      <c r="E371" s="28"/>
    </row>
    <row r="372">
      <c r="A372" s="28"/>
      <c r="B372" s="28"/>
      <c r="C372" s="28"/>
      <c r="D372" s="28"/>
      <c r="E372" s="28"/>
    </row>
    <row r="373">
      <c r="A373" s="28"/>
      <c r="B373" s="28"/>
      <c r="C373" s="28"/>
      <c r="D373" s="28"/>
      <c r="E373" s="28"/>
    </row>
    <row r="374">
      <c r="A374" s="28"/>
      <c r="B374" s="28"/>
      <c r="C374" s="28"/>
      <c r="D374" s="28"/>
      <c r="E374" s="28"/>
    </row>
    <row r="375">
      <c r="A375" s="28"/>
      <c r="B375" s="28"/>
      <c r="C375" s="28"/>
      <c r="D375" s="28"/>
      <c r="E375" s="28"/>
    </row>
    <row r="376">
      <c r="A376" s="28"/>
      <c r="B376" s="28"/>
      <c r="C376" s="28"/>
      <c r="D376" s="28"/>
      <c r="E376" s="28"/>
    </row>
    <row r="377">
      <c r="A377" s="28"/>
      <c r="B377" s="28"/>
      <c r="C377" s="28"/>
      <c r="D377" s="28"/>
      <c r="E377" s="28"/>
    </row>
    <row r="378">
      <c r="A378" s="28"/>
      <c r="B378" s="28"/>
      <c r="C378" s="28"/>
      <c r="D378" s="28"/>
      <c r="E378" s="28"/>
    </row>
    <row r="379">
      <c r="A379" s="28"/>
      <c r="B379" s="28"/>
      <c r="C379" s="28"/>
      <c r="D379" s="28"/>
      <c r="E379" s="28"/>
    </row>
    <row r="380">
      <c r="A380" s="28"/>
      <c r="B380" s="28"/>
      <c r="C380" s="28"/>
      <c r="D380" s="28"/>
      <c r="E380" s="28"/>
    </row>
    <row r="381">
      <c r="A381" s="28"/>
      <c r="B381" s="28"/>
      <c r="C381" s="28"/>
      <c r="D381" s="28"/>
      <c r="E381" s="28"/>
    </row>
    <row r="382">
      <c r="A382" s="28"/>
      <c r="B382" s="28"/>
      <c r="C382" s="28"/>
      <c r="D382" s="28"/>
      <c r="E382" s="28"/>
    </row>
    <row r="383">
      <c r="A383" s="28"/>
      <c r="B383" s="28"/>
      <c r="C383" s="28"/>
      <c r="D383" s="28"/>
      <c r="E383" s="28"/>
    </row>
    <row r="384">
      <c r="A384" s="28"/>
      <c r="B384" s="28"/>
      <c r="C384" s="28"/>
      <c r="D384" s="28"/>
      <c r="E384" s="28"/>
    </row>
    <row r="385">
      <c r="A385" s="28"/>
      <c r="B385" s="28"/>
      <c r="C385" s="28"/>
      <c r="D385" s="28"/>
      <c r="E385" s="28"/>
    </row>
    <row r="386">
      <c r="A386" s="28"/>
      <c r="B386" s="28"/>
      <c r="C386" s="28"/>
      <c r="D386" s="28"/>
      <c r="E386" s="28"/>
    </row>
    <row r="387">
      <c r="A387" s="28"/>
      <c r="B387" s="28"/>
      <c r="C387" s="28"/>
      <c r="D387" s="28"/>
      <c r="E387" s="28"/>
    </row>
    <row r="388">
      <c r="A388" s="28"/>
      <c r="B388" s="28"/>
      <c r="C388" s="28"/>
      <c r="D388" s="28"/>
      <c r="E388" s="28"/>
    </row>
    <row r="389">
      <c r="A389" s="28"/>
      <c r="B389" s="28"/>
      <c r="C389" s="28"/>
      <c r="D389" s="28"/>
      <c r="E389" s="28"/>
    </row>
    <row r="390">
      <c r="A390" s="28"/>
      <c r="B390" s="28"/>
      <c r="C390" s="28"/>
      <c r="D390" s="28"/>
      <c r="E390" s="28"/>
    </row>
    <row r="391">
      <c r="A391" s="28"/>
      <c r="B391" s="28"/>
      <c r="C391" s="28"/>
      <c r="D391" s="28"/>
      <c r="E391" s="28"/>
    </row>
    <row r="392">
      <c r="A392" s="28"/>
      <c r="B392" s="28"/>
      <c r="C392" s="28"/>
      <c r="D392" s="28"/>
      <c r="E392" s="28"/>
    </row>
    <row r="393">
      <c r="A393" s="28"/>
      <c r="B393" s="28"/>
      <c r="C393" s="28"/>
      <c r="D393" s="28"/>
      <c r="E393" s="28"/>
    </row>
    <row r="394">
      <c r="A394" s="28"/>
      <c r="B394" s="28"/>
      <c r="C394" s="28"/>
      <c r="D394" s="28"/>
      <c r="E394" s="28"/>
    </row>
    <row r="395">
      <c r="A395" s="28"/>
      <c r="B395" s="28"/>
      <c r="C395" s="28"/>
      <c r="D395" s="28"/>
      <c r="E395" s="28"/>
    </row>
    <row r="396">
      <c r="A396" s="28"/>
      <c r="B396" s="28"/>
      <c r="C396" s="28"/>
      <c r="D396" s="28"/>
      <c r="E396" s="28"/>
    </row>
    <row r="397">
      <c r="A397" s="28"/>
      <c r="B397" s="28"/>
      <c r="C397" s="28"/>
      <c r="D397" s="28"/>
      <c r="E397" s="28"/>
    </row>
    <row r="398">
      <c r="A398" s="28"/>
      <c r="B398" s="28"/>
      <c r="C398" s="28"/>
      <c r="D398" s="28"/>
      <c r="E398" s="28"/>
    </row>
    <row r="399">
      <c r="A399" s="28"/>
      <c r="B399" s="28"/>
      <c r="C399" s="28"/>
      <c r="D399" s="28"/>
      <c r="E399" s="28"/>
    </row>
    <row r="400">
      <c r="A400" s="28"/>
      <c r="B400" s="28"/>
      <c r="C400" s="28"/>
      <c r="D400" s="28"/>
      <c r="E400" s="28"/>
    </row>
    <row r="401">
      <c r="A401" s="28"/>
      <c r="B401" s="28"/>
      <c r="C401" s="28"/>
      <c r="D401" s="28"/>
      <c r="E401" s="28"/>
    </row>
    <row r="402">
      <c r="A402" s="28"/>
      <c r="B402" s="28"/>
      <c r="C402" s="28"/>
      <c r="D402" s="28"/>
      <c r="E402" s="28"/>
    </row>
    <row r="403">
      <c r="A403" s="28"/>
      <c r="B403" s="28"/>
      <c r="C403" s="28"/>
      <c r="D403" s="28"/>
      <c r="E403" s="28"/>
    </row>
    <row r="404">
      <c r="A404" s="28"/>
      <c r="B404" s="28"/>
      <c r="C404" s="28"/>
      <c r="D404" s="28"/>
      <c r="E404" s="28"/>
    </row>
    <row r="405">
      <c r="A405" s="28"/>
      <c r="B405" s="28"/>
      <c r="C405" s="28"/>
      <c r="D405" s="28"/>
      <c r="E405" s="28"/>
    </row>
    <row r="406">
      <c r="A406" s="28"/>
      <c r="B406" s="28"/>
      <c r="C406" s="28"/>
      <c r="D406" s="28"/>
      <c r="E406" s="28"/>
    </row>
    <row r="407">
      <c r="A407" s="28"/>
      <c r="B407" s="28"/>
      <c r="C407" s="28"/>
      <c r="D407" s="28"/>
      <c r="E407" s="28"/>
    </row>
    <row r="408">
      <c r="A408" s="28"/>
      <c r="B408" s="28"/>
      <c r="C408" s="28"/>
      <c r="D408" s="28"/>
      <c r="E408" s="28"/>
    </row>
    <row r="409">
      <c r="A409" s="28"/>
      <c r="B409" s="28"/>
      <c r="C409" s="28"/>
      <c r="D409" s="28"/>
      <c r="E409" s="28"/>
    </row>
    <row r="410">
      <c r="A410" s="28"/>
      <c r="B410" s="28"/>
      <c r="C410" s="28"/>
      <c r="D410" s="28"/>
      <c r="E410" s="28"/>
    </row>
    <row r="411">
      <c r="A411" s="28"/>
      <c r="B411" s="28"/>
      <c r="C411" s="28"/>
      <c r="D411" s="28"/>
      <c r="E411" s="28"/>
    </row>
    <row r="412">
      <c r="A412" s="28"/>
      <c r="B412" s="28"/>
      <c r="C412" s="28"/>
      <c r="D412" s="28"/>
      <c r="E412" s="28"/>
    </row>
    <row r="413">
      <c r="A413" s="28"/>
      <c r="B413" s="28"/>
      <c r="C413" s="28"/>
      <c r="D413" s="28"/>
      <c r="E413" s="28"/>
    </row>
    <row r="414">
      <c r="A414" s="28"/>
      <c r="B414" s="28"/>
      <c r="C414" s="28"/>
      <c r="D414" s="28"/>
      <c r="E414" s="28"/>
    </row>
    <row r="415">
      <c r="A415" s="28"/>
      <c r="B415" s="28"/>
      <c r="C415" s="28"/>
      <c r="D415" s="28"/>
      <c r="E415" s="28"/>
    </row>
    <row r="416">
      <c r="A416" s="28"/>
      <c r="B416" s="28"/>
      <c r="C416" s="28"/>
      <c r="D416" s="28"/>
      <c r="E416" s="28"/>
    </row>
    <row r="417">
      <c r="A417" s="28"/>
      <c r="B417" s="28"/>
      <c r="C417" s="28"/>
      <c r="D417" s="28"/>
      <c r="E417" s="28"/>
    </row>
    <row r="418">
      <c r="A418" s="28"/>
      <c r="B418" s="28"/>
      <c r="C418" s="28"/>
      <c r="D418" s="28"/>
      <c r="E418" s="28"/>
    </row>
    <row r="419">
      <c r="A419" s="28"/>
      <c r="B419" s="28"/>
      <c r="C419" s="28"/>
      <c r="D419" s="28"/>
      <c r="E419" s="28"/>
    </row>
    <row r="420">
      <c r="A420" s="28"/>
      <c r="B420" s="28"/>
      <c r="C420" s="28"/>
      <c r="D420" s="28"/>
      <c r="E420" s="28"/>
    </row>
    <row r="421">
      <c r="A421" s="28"/>
      <c r="B421" s="28"/>
      <c r="C421" s="28"/>
      <c r="D421" s="28"/>
      <c r="E421" s="28"/>
    </row>
    <row r="422">
      <c r="A422" s="28"/>
      <c r="B422" s="28"/>
      <c r="C422" s="28"/>
      <c r="D422" s="28"/>
      <c r="E422" s="28"/>
    </row>
    <row r="423">
      <c r="A423" s="28"/>
      <c r="B423" s="28"/>
      <c r="C423" s="28"/>
      <c r="D423" s="28"/>
      <c r="E423" s="28"/>
    </row>
    <row r="424">
      <c r="A424" s="28"/>
      <c r="B424" s="28"/>
      <c r="C424" s="28"/>
      <c r="D424" s="28"/>
      <c r="E424" s="28"/>
    </row>
    <row r="425">
      <c r="A425" s="28"/>
      <c r="B425" s="28"/>
      <c r="C425" s="28"/>
      <c r="D425" s="28"/>
      <c r="E425" s="28"/>
    </row>
    <row r="426">
      <c r="A426" s="28"/>
      <c r="B426" s="28"/>
      <c r="C426" s="28"/>
      <c r="D426" s="28"/>
      <c r="E426" s="28"/>
    </row>
    <row r="427">
      <c r="A427" s="28"/>
      <c r="B427" s="28"/>
      <c r="C427" s="28"/>
      <c r="D427" s="28"/>
      <c r="E427" s="28"/>
    </row>
    <row r="428">
      <c r="A428" s="28"/>
      <c r="B428" s="28"/>
      <c r="C428" s="28"/>
      <c r="D428" s="28"/>
      <c r="E428" s="28"/>
    </row>
    <row r="429">
      <c r="A429" s="28"/>
      <c r="B429" s="28"/>
      <c r="C429" s="28"/>
      <c r="D429" s="28"/>
      <c r="E429" s="28"/>
    </row>
    <row r="430">
      <c r="A430" s="28"/>
      <c r="B430" s="28"/>
      <c r="C430" s="28"/>
      <c r="D430" s="28"/>
      <c r="E430" s="28"/>
    </row>
    <row r="431">
      <c r="A431" s="28"/>
      <c r="B431" s="28"/>
      <c r="C431" s="28"/>
      <c r="D431" s="28"/>
      <c r="E431" s="28"/>
    </row>
    <row r="432">
      <c r="A432" s="28"/>
      <c r="B432" s="28"/>
      <c r="C432" s="28"/>
      <c r="D432" s="28"/>
      <c r="E432" s="28"/>
    </row>
    <row r="433">
      <c r="A433" s="28"/>
      <c r="B433" s="28"/>
      <c r="C433" s="28"/>
      <c r="D433" s="28"/>
      <c r="E433" s="28"/>
    </row>
    <row r="434">
      <c r="A434" s="28"/>
      <c r="B434" s="28"/>
      <c r="C434" s="28"/>
      <c r="D434" s="28"/>
      <c r="E434" s="28"/>
    </row>
    <row r="435">
      <c r="A435" s="28"/>
      <c r="B435" s="28"/>
      <c r="C435" s="28"/>
      <c r="D435" s="28"/>
      <c r="E435" s="28"/>
    </row>
    <row r="436">
      <c r="A436" s="28"/>
      <c r="B436" s="28"/>
      <c r="C436" s="28"/>
      <c r="D436" s="28"/>
      <c r="E436" s="28"/>
    </row>
    <row r="437">
      <c r="A437" s="28"/>
      <c r="B437" s="28"/>
      <c r="C437" s="28"/>
      <c r="D437" s="28"/>
      <c r="E437" s="28"/>
    </row>
    <row r="438">
      <c r="A438" s="28"/>
      <c r="B438" s="28"/>
      <c r="C438" s="28"/>
      <c r="D438" s="28"/>
      <c r="E438" s="28"/>
    </row>
    <row r="439">
      <c r="A439" s="28"/>
      <c r="B439" s="28"/>
      <c r="C439" s="28"/>
      <c r="D439" s="28"/>
      <c r="E439" s="28"/>
    </row>
    <row r="440">
      <c r="A440" s="28"/>
      <c r="B440" s="28"/>
      <c r="C440" s="28"/>
      <c r="D440" s="28"/>
      <c r="E440" s="28"/>
    </row>
    <row r="441">
      <c r="A441" s="28"/>
      <c r="B441" s="28"/>
      <c r="C441" s="28"/>
      <c r="D441" s="28"/>
      <c r="E441" s="28"/>
    </row>
    <row r="442">
      <c r="A442" s="28"/>
      <c r="B442" s="28"/>
      <c r="C442" s="28"/>
      <c r="D442" s="28"/>
      <c r="E442" s="28"/>
    </row>
    <row r="443">
      <c r="A443" s="28"/>
      <c r="B443" s="28"/>
      <c r="C443" s="28"/>
      <c r="D443" s="28"/>
      <c r="E443" s="28"/>
    </row>
    <row r="444">
      <c r="A444" s="28"/>
      <c r="B444" s="28"/>
      <c r="C444" s="28"/>
      <c r="D444" s="28"/>
      <c r="E444" s="28"/>
    </row>
    <row r="445">
      <c r="A445" s="28"/>
      <c r="B445" s="28"/>
      <c r="C445" s="28"/>
      <c r="D445" s="28"/>
      <c r="E445" s="28"/>
    </row>
    <row r="446">
      <c r="A446" s="28"/>
      <c r="B446" s="28"/>
      <c r="C446" s="28"/>
      <c r="D446" s="28"/>
      <c r="E446" s="28"/>
    </row>
    <row r="447">
      <c r="A447" s="28"/>
      <c r="B447" s="28"/>
      <c r="C447" s="28"/>
      <c r="D447" s="28"/>
      <c r="E447" s="28"/>
    </row>
    <row r="448">
      <c r="A448" s="28"/>
      <c r="B448" s="28"/>
      <c r="C448" s="28"/>
      <c r="D448" s="28"/>
      <c r="E448" s="28"/>
    </row>
    <row r="449">
      <c r="A449" s="28"/>
      <c r="B449" s="28"/>
      <c r="C449" s="28"/>
      <c r="D449" s="28"/>
      <c r="E449" s="28"/>
    </row>
    <row r="450">
      <c r="A450" s="28"/>
      <c r="B450" s="28"/>
      <c r="C450" s="28"/>
      <c r="D450" s="28"/>
      <c r="E450" s="28"/>
    </row>
    <row r="451">
      <c r="A451" s="28"/>
      <c r="B451" s="28"/>
      <c r="C451" s="28"/>
      <c r="D451" s="28"/>
      <c r="E451" s="28"/>
    </row>
    <row r="452">
      <c r="A452" s="28"/>
      <c r="B452" s="28"/>
      <c r="C452" s="28"/>
      <c r="D452" s="28"/>
      <c r="E452" s="28"/>
    </row>
    <row r="453">
      <c r="A453" s="28"/>
      <c r="B453" s="28"/>
      <c r="C453" s="28"/>
      <c r="D453" s="28"/>
      <c r="E453" s="28"/>
    </row>
    <row r="454">
      <c r="A454" s="28"/>
      <c r="B454" s="28"/>
      <c r="C454" s="28"/>
      <c r="D454" s="28"/>
      <c r="E454" s="28"/>
    </row>
    <row r="455">
      <c r="A455" s="28"/>
      <c r="B455" s="28"/>
      <c r="C455" s="28"/>
      <c r="D455" s="28"/>
      <c r="E455" s="28"/>
    </row>
    <row r="456">
      <c r="A456" s="28"/>
      <c r="B456" s="28"/>
      <c r="C456" s="28"/>
      <c r="D456" s="28"/>
      <c r="E456" s="28"/>
    </row>
    <row r="457">
      <c r="A457" s="28"/>
      <c r="B457" s="28"/>
      <c r="C457" s="28"/>
      <c r="D457" s="28"/>
      <c r="E457" s="28"/>
    </row>
    <row r="458">
      <c r="A458" s="28"/>
      <c r="B458" s="28"/>
      <c r="C458" s="28"/>
      <c r="D458" s="28"/>
      <c r="E458" s="28"/>
    </row>
    <row r="459">
      <c r="A459" s="28"/>
      <c r="B459" s="28"/>
      <c r="C459" s="28"/>
      <c r="D459" s="28"/>
      <c r="E459" s="28"/>
    </row>
    <row r="460">
      <c r="A460" s="28"/>
      <c r="B460" s="28"/>
      <c r="C460" s="28"/>
      <c r="D460" s="28"/>
      <c r="E460" s="28"/>
    </row>
    <row r="461">
      <c r="A461" s="28"/>
      <c r="B461" s="28"/>
      <c r="C461" s="28"/>
      <c r="D461" s="28"/>
      <c r="E461" s="28"/>
    </row>
    <row r="462">
      <c r="A462" s="28"/>
      <c r="B462" s="28"/>
      <c r="C462" s="28"/>
      <c r="D462" s="28"/>
      <c r="E462" s="28"/>
    </row>
    <row r="463">
      <c r="A463" s="28"/>
      <c r="B463" s="28"/>
      <c r="C463" s="28"/>
      <c r="D463" s="28"/>
      <c r="E463" s="28"/>
    </row>
    <row r="464">
      <c r="A464" s="28"/>
      <c r="B464" s="28"/>
      <c r="C464" s="28"/>
      <c r="D464" s="28"/>
      <c r="E464" s="28"/>
    </row>
    <row r="465">
      <c r="A465" s="28"/>
      <c r="B465" s="28"/>
      <c r="C465" s="28"/>
      <c r="D465" s="28"/>
      <c r="E465" s="28"/>
    </row>
    <row r="466">
      <c r="A466" s="28"/>
      <c r="B466" s="28"/>
      <c r="C466" s="28"/>
      <c r="D466" s="28"/>
      <c r="E466" s="28"/>
    </row>
    <row r="467">
      <c r="A467" s="28"/>
      <c r="B467" s="28"/>
      <c r="C467" s="28"/>
      <c r="D467" s="28"/>
      <c r="E467" s="28"/>
    </row>
    <row r="468">
      <c r="A468" s="28"/>
      <c r="B468" s="28"/>
      <c r="C468" s="28"/>
      <c r="D468" s="28"/>
      <c r="E468" s="28"/>
    </row>
    <row r="469">
      <c r="A469" s="28"/>
      <c r="B469" s="28"/>
      <c r="C469" s="28"/>
      <c r="D469" s="28"/>
      <c r="E469" s="28"/>
    </row>
    <row r="470">
      <c r="A470" s="28"/>
      <c r="B470" s="28"/>
      <c r="C470" s="28"/>
      <c r="D470" s="28"/>
      <c r="E470" s="28"/>
    </row>
    <row r="471">
      <c r="A471" s="28"/>
      <c r="B471" s="28"/>
      <c r="C471" s="28"/>
      <c r="D471" s="28"/>
      <c r="E471" s="28"/>
    </row>
    <row r="472">
      <c r="A472" s="28"/>
      <c r="B472" s="28"/>
      <c r="C472" s="28"/>
      <c r="D472" s="28"/>
      <c r="E472" s="28"/>
    </row>
    <row r="473">
      <c r="A473" s="28"/>
      <c r="B473" s="28"/>
      <c r="C473" s="28"/>
      <c r="D473" s="28"/>
      <c r="E473" s="28"/>
    </row>
    <row r="474">
      <c r="A474" s="28"/>
      <c r="B474" s="28"/>
      <c r="C474" s="28"/>
      <c r="D474" s="28"/>
      <c r="E474" s="28"/>
    </row>
    <row r="475">
      <c r="A475" s="28"/>
      <c r="B475" s="28"/>
      <c r="C475" s="28"/>
      <c r="D475" s="28"/>
      <c r="E475" s="28"/>
    </row>
    <row r="476">
      <c r="A476" s="28"/>
      <c r="B476" s="28"/>
      <c r="C476" s="28"/>
      <c r="D476" s="28"/>
      <c r="E476" s="28"/>
    </row>
    <row r="477">
      <c r="A477" s="28"/>
      <c r="B477" s="28"/>
      <c r="C477" s="28"/>
      <c r="D477" s="28"/>
      <c r="E477" s="28"/>
    </row>
    <row r="478">
      <c r="A478" s="28"/>
      <c r="B478" s="28"/>
      <c r="C478" s="28"/>
      <c r="D478" s="28"/>
      <c r="E478" s="28"/>
    </row>
    <row r="479">
      <c r="A479" s="28"/>
      <c r="B479" s="28"/>
      <c r="C479" s="28"/>
      <c r="D479" s="28"/>
      <c r="E479" s="28"/>
    </row>
    <row r="480">
      <c r="A480" s="28"/>
      <c r="B480" s="28"/>
      <c r="C480" s="28"/>
      <c r="D480" s="28"/>
      <c r="E480" s="28"/>
    </row>
    <row r="481">
      <c r="A481" s="28"/>
      <c r="B481" s="28"/>
      <c r="C481" s="28"/>
      <c r="D481" s="28"/>
      <c r="E481" s="28"/>
    </row>
    <row r="482">
      <c r="A482" s="28"/>
      <c r="B482" s="28"/>
      <c r="C482" s="28"/>
      <c r="D482" s="28"/>
      <c r="E482" s="28"/>
    </row>
    <row r="483">
      <c r="A483" s="28"/>
      <c r="B483" s="28"/>
      <c r="C483" s="28"/>
      <c r="D483" s="28"/>
      <c r="E483" s="28"/>
    </row>
    <row r="484">
      <c r="A484" s="28"/>
      <c r="B484" s="28"/>
      <c r="C484" s="28"/>
      <c r="D484" s="28"/>
      <c r="E484" s="28"/>
    </row>
    <row r="485">
      <c r="A485" s="28"/>
      <c r="B485" s="28"/>
      <c r="C485" s="28"/>
      <c r="D485" s="28"/>
      <c r="E485" s="28"/>
    </row>
    <row r="486">
      <c r="A486" s="28"/>
      <c r="B486" s="28"/>
      <c r="C486" s="28"/>
      <c r="D486" s="28"/>
      <c r="E486" s="28"/>
    </row>
    <row r="487">
      <c r="A487" s="28"/>
      <c r="B487" s="28"/>
      <c r="C487" s="28"/>
      <c r="D487" s="28"/>
      <c r="E487" s="28"/>
    </row>
    <row r="488">
      <c r="A488" s="28"/>
      <c r="B488" s="28"/>
      <c r="C488" s="28"/>
      <c r="D488" s="28"/>
      <c r="E488" s="28"/>
    </row>
    <row r="489">
      <c r="A489" s="28"/>
      <c r="B489" s="28"/>
      <c r="C489" s="28"/>
      <c r="D489" s="28"/>
      <c r="E489" s="28"/>
    </row>
    <row r="490">
      <c r="A490" s="28"/>
      <c r="B490" s="28"/>
      <c r="C490" s="28"/>
      <c r="D490" s="28"/>
      <c r="E490" s="28"/>
    </row>
    <row r="491">
      <c r="A491" s="28"/>
      <c r="B491" s="28"/>
      <c r="C491" s="28"/>
      <c r="D491" s="28"/>
      <c r="E491" s="28"/>
    </row>
    <row r="492">
      <c r="A492" s="28"/>
      <c r="B492" s="28"/>
      <c r="C492" s="28"/>
      <c r="D492" s="28"/>
      <c r="E492" s="28"/>
    </row>
    <row r="493">
      <c r="A493" s="28"/>
      <c r="B493" s="28"/>
      <c r="C493" s="28"/>
      <c r="D493" s="28"/>
      <c r="E493" s="28"/>
    </row>
    <row r="494">
      <c r="A494" s="28"/>
      <c r="B494" s="28"/>
      <c r="C494" s="28"/>
      <c r="D494" s="28"/>
      <c r="E494" s="28"/>
    </row>
    <row r="495">
      <c r="A495" s="28"/>
      <c r="B495" s="28"/>
      <c r="C495" s="28"/>
      <c r="D495" s="28"/>
      <c r="E495" s="28"/>
    </row>
    <row r="496">
      <c r="A496" s="28"/>
      <c r="B496" s="28"/>
      <c r="C496" s="28"/>
      <c r="D496" s="28"/>
      <c r="E496" s="28"/>
    </row>
    <row r="497">
      <c r="A497" s="28"/>
      <c r="B497" s="28"/>
      <c r="C497" s="28"/>
      <c r="D497" s="28"/>
      <c r="E497" s="28"/>
    </row>
    <row r="498">
      <c r="A498" s="28"/>
      <c r="B498" s="28"/>
      <c r="C498" s="28"/>
      <c r="D498" s="28"/>
      <c r="E498" s="28"/>
    </row>
    <row r="499">
      <c r="A499" s="28"/>
      <c r="B499" s="28"/>
      <c r="C499" s="28"/>
      <c r="D499" s="28"/>
      <c r="E499" s="28"/>
    </row>
    <row r="500">
      <c r="A500" s="28"/>
      <c r="B500" s="28"/>
      <c r="C500" s="28"/>
      <c r="D500" s="28"/>
      <c r="E500" s="28"/>
    </row>
    <row r="501">
      <c r="A501" s="28"/>
      <c r="B501" s="28"/>
      <c r="C501" s="28"/>
      <c r="D501" s="28"/>
      <c r="E501" s="28"/>
    </row>
    <row r="502">
      <c r="A502" s="28"/>
      <c r="B502" s="28"/>
      <c r="C502" s="28"/>
      <c r="D502" s="28"/>
      <c r="E502" s="28"/>
    </row>
    <row r="503">
      <c r="A503" s="28"/>
      <c r="B503" s="28"/>
      <c r="C503" s="28"/>
      <c r="D503" s="28"/>
      <c r="E503" s="28"/>
    </row>
    <row r="504">
      <c r="A504" s="28"/>
      <c r="B504" s="28"/>
      <c r="C504" s="28"/>
      <c r="D504" s="28"/>
      <c r="E504" s="28"/>
    </row>
    <row r="505">
      <c r="A505" s="28"/>
      <c r="B505" s="28"/>
      <c r="C505" s="28"/>
      <c r="D505" s="28"/>
      <c r="E505" s="28"/>
    </row>
    <row r="506">
      <c r="A506" s="28"/>
      <c r="B506" s="28"/>
      <c r="C506" s="28"/>
      <c r="D506" s="28"/>
      <c r="E506" s="28"/>
    </row>
    <row r="507">
      <c r="A507" s="28"/>
      <c r="B507" s="28"/>
      <c r="C507" s="28"/>
      <c r="D507" s="28"/>
      <c r="E507" s="28"/>
    </row>
    <row r="508">
      <c r="A508" s="28"/>
      <c r="B508" s="28"/>
      <c r="C508" s="28"/>
      <c r="D508" s="28"/>
      <c r="E508" s="28"/>
    </row>
    <row r="509">
      <c r="A509" s="28"/>
      <c r="B509" s="28"/>
      <c r="C509" s="28"/>
      <c r="D509" s="28"/>
      <c r="E509" s="28"/>
    </row>
    <row r="510">
      <c r="A510" s="28"/>
      <c r="B510" s="28"/>
      <c r="C510" s="28"/>
      <c r="D510" s="28"/>
      <c r="E510" s="28"/>
    </row>
    <row r="511">
      <c r="A511" s="28"/>
      <c r="B511" s="28"/>
      <c r="C511" s="28"/>
      <c r="D511" s="28"/>
      <c r="E511" s="28"/>
    </row>
    <row r="512">
      <c r="A512" s="28"/>
      <c r="B512" s="28"/>
      <c r="C512" s="28"/>
      <c r="D512" s="28"/>
      <c r="E512" s="28"/>
    </row>
    <row r="513">
      <c r="A513" s="28"/>
      <c r="B513" s="28"/>
      <c r="C513" s="28"/>
      <c r="D513" s="28"/>
      <c r="E513" s="28"/>
    </row>
    <row r="514">
      <c r="A514" s="28"/>
      <c r="B514" s="28"/>
      <c r="C514" s="28"/>
      <c r="D514" s="28"/>
      <c r="E514" s="28"/>
    </row>
    <row r="515">
      <c r="A515" s="28"/>
      <c r="B515" s="28"/>
      <c r="C515" s="28"/>
      <c r="D515" s="28"/>
      <c r="E515" s="28"/>
    </row>
    <row r="516">
      <c r="A516" s="28"/>
      <c r="B516" s="28"/>
      <c r="C516" s="28"/>
      <c r="D516" s="28"/>
      <c r="E516" s="28"/>
    </row>
    <row r="517">
      <c r="A517" s="28"/>
      <c r="B517" s="28"/>
      <c r="C517" s="28"/>
      <c r="D517" s="28"/>
      <c r="E517" s="28"/>
    </row>
    <row r="518">
      <c r="A518" s="28"/>
      <c r="B518" s="28"/>
      <c r="C518" s="28"/>
      <c r="D518" s="28"/>
      <c r="E518" s="28"/>
    </row>
    <row r="519">
      <c r="A519" s="28"/>
      <c r="B519" s="28"/>
      <c r="C519" s="28"/>
      <c r="D519" s="28"/>
      <c r="E519" s="28"/>
    </row>
    <row r="520">
      <c r="A520" s="28"/>
      <c r="B520" s="28"/>
      <c r="C520" s="28"/>
      <c r="D520" s="28"/>
      <c r="E520" s="28"/>
    </row>
    <row r="521">
      <c r="A521" s="28"/>
      <c r="B521" s="28"/>
      <c r="C521" s="28"/>
      <c r="D521" s="28"/>
      <c r="E521" s="28"/>
    </row>
    <row r="522">
      <c r="A522" s="28"/>
      <c r="B522" s="28"/>
      <c r="C522" s="28"/>
      <c r="D522" s="28"/>
      <c r="E522" s="28"/>
    </row>
    <row r="523">
      <c r="A523" s="28"/>
      <c r="B523" s="28"/>
      <c r="C523" s="28"/>
      <c r="D523" s="28"/>
      <c r="E523" s="28"/>
    </row>
    <row r="524">
      <c r="A524" s="28"/>
      <c r="B524" s="28"/>
      <c r="C524" s="28"/>
      <c r="D524" s="28"/>
      <c r="E524" s="28"/>
    </row>
    <row r="525">
      <c r="A525" s="28"/>
      <c r="B525" s="28"/>
      <c r="C525" s="28"/>
      <c r="D525" s="28"/>
      <c r="E525" s="28"/>
    </row>
    <row r="526">
      <c r="A526" s="28"/>
      <c r="B526" s="28"/>
      <c r="C526" s="28"/>
      <c r="D526" s="28"/>
      <c r="E526" s="28"/>
    </row>
    <row r="527">
      <c r="A527" s="28"/>
      <c r="B527" s="28"/>
      <c r="C527" s="28"/>
      <c r="D527" s="28"/>
      <c r="E527" s="28"/>
    </row>
    <row r="528">
      <c r="A528" s="28"/>
      <c r="B528" s="28"/>
      <c r="C528" s="28"/>
      <c r="D528" s="28"/>
      <c r="E528" s="28"/>
    </row>
    <row r="529">
      <c r="A529" s="28"/>
      <c r="B529" s="28"/>
      <c r="C529" s="28"/>
      <c r="D529" s="28"/>
      <c r="E529" s="28"/>
    </row>
    <row r="530">
      <c r="A530" s="28"/>
      <c r="B530" s="28"/>
      <c r="C530" s="28"/>
      <c r="D530" s="28"/>
      <c r="E530" s="28"/>
    </row>
    <row r="531">
      <c r="A531" s="28"/>
      <c r="B531" s="28"/>
      <c r="C531" s="28"/>
      <c r="D531" s="28"/>
      <c r="E531" s="28"/>
    </row>
    <row r="532">
      <c r="A532" s="28"/>
      <c r="B532" s="28"/>
      <c r="C532" s="28"/>
      <c r="D532" s="28"/>
      <c r="E532" s="28"/>
    </row>
    <row r="533">
      <c r="A533" s="28"/>
      <c r="B533" s="28"/>
      <c r="C533" s="28"/>
      <c r="D533" s="28"/>
      <c r="E533" s="28"/>
    </row>
    <row r="534">
      <c r="A534" s="28"/>
      <c r="B534" s="28"/>
      <c r="C534" s="28"/>
      <c r="D534" s="28"/>
      <c r="E534" s="28"/>
    </row>
    <row r="535">
      <c r="A535" s="28"/>
      <c r="B535" s="28"/>
      <c r="C535" s="28"/>
      <c r="D535" s="28"/>
      <c r="E535" s="28"/>
    </row>
    <row r="536">
      <c r="A536" s="28"/>
      <c r="B536" s="28"/>
      <c r="C536" s="28"/>
      <c r="D536" s="28"/>
      <c r="E536" s="28"/>
    </row>
    <row r="537">
      <c r="A537" s="28"/>
      <c r="B537" s="28"/>
      <c r="C537" s="28"/>
      <c r="D537" s="28"/>
      <c r="E537" s="28"/>
    </row>
    <row r="538">
      <c r="A538" s="28"/>
      <c r="B538" s="28"/>
      <c r="C538" s="28"/>
      <c r="D538" s="28"/>
      <c r="E538" s="28"/>
    </row>
    <row r="539">
      <c r="A539" s="28"/>
      <c r="B539" s="28"/>
      <c r="C539" s="28"/>
      <c r="D539" s="28"/>
      <c r="E539" s="28"/>
    </row>
    <row r="540">
      <c r="A540" s="28"/>
      <c r="B540" s="28"/>
      <c r="C540" s="28"/>
      <c r="D540" s="28"/>
      <c r="E540" s="28"/>
    </row>
    <row r="541">
      <c r="A541" s="28"/>
      <c r="B541" s="28"/>
      <c r="C541" s="28"/>
      <c r="D541" s="28"/>
      <c r="E541" s="28"/>
    </row>
    <row r="542">
      <c r="A542" s="28"/>
      <c r="B542" s="28"/>
      <c r="C542" s="28"/>
      <c r="D542" s="28"/>
      <c r="E542" s="28"/>
    </row>
    <row r="543">
      <c r="A543" s="28"/>
      <c r="B543" s="28"/>
      <c r="C543" s="28"/>
      <c r="D543" s="28"/>
      <c r="E543" s="28"/>
    </row>
    <row r="544">
      <c r="A544" s="28"/>
      <c r="B544" s="28"/>
      <c r="C544" s="28"/>
      <c r="D544" s="28"/>
      <c r="E544" s="28"/>
    </row>
    <row r="545">
      <c r="A545" s="28"/>
      <c r="B545" s="28"/>
      <c r="C545" s="28"/>
      <c r="D545" s="28"/>
      <c r="E545" s="28"/>
    </row>
    <row r="546">
      <c r="A546" s="28"/>
      <c r="B546" s="28"/>
      <c r="C546" s="28"/>
      <c r="D546" s="28"/>
      <c r="E546" s="28"/>
    </row>
    <row r="547">
      <c r="A547" s="28"/>
      <c r="B547" s="28"/>
      <c r="C547" s="28"/>
      <c r="D547" s="28"/>
      <c r="E547" s="28"/>
    </row>
    <row r="548">
      <c r="A548" s="28"/>
      <c r="B548" s="28"/>
      <c r="C548" s="28"/>
      <c r="D548" s="28"/>
      <c r="E548" s="28"/>
    </row>
    <row r="549">
      <c r="A549" s="28"/>
      <c r="B549" s="28"/>
      <c r="C549" s="28"/>
      <c r="D549" s="28"/>
      <c r="E549" s="28"/>
    </row>
    <row r="550">
      <c r="A550" s="28"/>
      <c r="B550" s="28"/>
      <c r="C550" s="28"/>
      <c r="D550" s="28"/>
      <c r="E550" s="28"/>
    </row>
    <row r="551">
      <c r="A551" s="28"/>
      <c r="B551" s="28"/>
      <c r="C551" s="28"/>
      <c r="D551" s="28"/>
      <c r="E551" s="28"/>
    </row>
    <row r="552">
      <c r="A552" s="28"/>
      <c r="B552" s="28"/>
      <c r="C552" s="28"/>
      <c r="D552" s="28"/>
      <c r="E552" s="28"/>
    </row>
    <row r="553">
      <c r="A553" s="28"/>
      <c r="B553" s="28"/>
      <c r="C553" s="28"/>
      <c r="D553" s="28"/>
      <c r="E553" s="28"/>
    </row>
    <row r="554">
      <c r="A554" s="28"/>
      <c r="B554" s="28"/>
      <c r="C554" s="28"/>
      <c r="D554" s="28"/>
      <c r="E554" s="28"/>
    </row>
    <row r="555">
      <c r="A555" s="28"/>
      <c r="B555" s="28"/>
      <c r="C555" s="28"/>
      <c r="D555" s="28"/>
      <c r="E555" s="28"/>
    </row>
    <row r="556">
      <c r="A556" s="28"/>
      <c r="B556" s="28"/>
      <c r="C556" s="28"/>
      <c r="D556" s="28"/>
      <c r="E556" s="28"/>
    </row>
    <row r="557">
      <c r="A557" s="28"/>
      <c r="B557" s="28"/>
      <c r="C557" s="28"/>
      <c r="D557" s="28"/>
      <c r="E557" s="28"/>
    </row>
    <row r="558">
      <c r="A558" s="28"/>
      <c r="B558" s="28"/>
      <c r="C558" s="28"/>
      <c r="D558" s="28"/>
      <c r="E558" s="28"/>
    </row>
    <row r="559">
      <c r="A559" s="28"/>
      <c r="B559" s="28"/>
      <c r="C559" s="28"/>
      <c r="D559" s="28"/>
      <c r="E559" s="28"/>
    </row>
    <row r="560">
      <c r="A560" s="28"/>
      <c r="B560" s="28"/>
      <c r="C560" s="28"/>
      <c r="D560" s="28"/>
      <c r="E560" s="28"/>
    </row>
    <row r="561">
      <c r="A561" s="28"/>
      <c r="B561" s="28"/>
      <c r="C561" s="28"/>
      <c r="D561" s="28"/>
      <c r="E561" s="28"/>
    </row>
    <row r="562">
      <c r="A562" s="28"/>
      <c r="B562" s="28"/>
      <c r="C562" s="28"/>
      <c r="D562" s="28"/>
      <c r="E562" s="28"/>
    </row>
    <row r="563">
      <c r="A563" s="28"/>
      <c r="B563" s="28"/>
      <c r="C563" s="28"/>
      <c r="D563" s="28"/>
      <c r="E563" s="28"/>
    </row>
    <row r="564">
      <c r="A564" s="28"/>
      <c r="B564" s="28"/>
      <c r="C564" s="28"/>
      <c r="D564" s="28"/>
      <c r="E564" s="28"/>
    </row>
    <row r="565">
      <c r="A565" s="28"/>
      <c r="B565" s="28"/>
      <c r="C565" s="28"/>
      <c r="D565" s="28"/>
      <c r="E565" s="28"/>
    </row>
    <row r="566">
      <c r="A566" s="28"/>
      <c r="B566" s="28"/>
      <c r="C566" s="28"/>
      <c r="D566" s="28"/>
      <c r="E566" s="28"/>
    </row>
    <row r="567">
      <c r="A567" s="28"/>
      <c r="B567" s="28"/>
      <c r="C567" s="28"/>
      <c r="D567" s="28"/>
      <c r="E567" s="28"/>
    </row>
    <row r="568">
      <c r="A568" s="28"/>
      <c r="B568" s="28"/>
      <c r="C568" s="28"/>
      <c r="D568" s="28"/>
      <c r="E568" s="28"/>
    </row>
    <row r="569">
      <c r="A569" s="28"/>
      <c r="B569" s="28"/>
      <c r="C569" s="28"/>
      <c r="D569" s="28"/>
      <c r="E569" s="28"/>
    </row>
    <row r="570">
      <c r="A570" s="28"/>
      <c r="B570" s="28"/>
      <c r="C570" s="28"/>
      <c r="D570" s="28"/>
      <c r="E570" s="28"/>
    </row>
    <row r="571">
      <c r="A571" s="28"/>
      <c r="B571" s="28"/>
      <c r="C571" s="28"/>
      <c r="D571" s="28"/>
      <c r="E571" s="28"/>
    </row>
    <row r="572">
      <c r="A572" s="28"/>
      <c r="B572" s="28"/>
      <c r="C572" s="28"/>
      <c r="D572" s="28"/>
      <c r="E572" s="28"/>
    </row>
    <row r="573">
      <c r="A573" s="28"/>
      <c r="B573" s="28"/>
      <c r="C573" s="28"/>
      <c r="D573" s="28"/>
      <c r="E573" s="28"/>
    </row>
    <row r="574">
      <c r="A574" s="28"/>
      <c r="B574" s="28"/>
      <c r="C574" s="28"/>
      <c r="D574" s="28"/>
      <c r="E574" s="28"/>
    </row>
    <row r="575">
      <c r="A575" s="28"/>
      <c r="B575" s="28"/>
      <c r="C575" s="28"/>
      <c r="D575" s="28"/>
      <c r="E575" s="28"/>
    </row>
    <row r="576">
      <c r="A576" s="28"/>
      <c r="B576" s="28"/>
      <c r="C576" s="28"/>
      <c r="D576" s="28"/>
      <c r="E576" s="28"/>
    </row>
    <row r="577">
      <c r="A577" s="28"/>
      <c r="B577" s="28"/>
      <c r="C577" s="28"/>
      <c r="D577" s="28"/>
      <c r="E577" s="28"/>
    </row>
    <row r="578">
      <c r="A578" s="28"/>
      <c r="B578" s="28"/>
      <c r="C578" s="28"/>
      <c r="D578" s="28"/>
      <c r="E578" s="28"/>
    </row>
    <row r="579">
      <c r="A579" s="28"/>
      <c r="B579" s="28"/>
      <c r="C579" s="28"/>
      <c r="D579" s="28"/>
      <c r="E579" s="28"/>
    </row>
    <row r="580">
      <c r="A580" s="28"/>
      <c r="B580" s="28"/>
      <c r="C580" s="28"/>
      <c r="D580" s="28"/>
      <c r="E580" s="28"/>
    </row>
    <row r="581">
      <c r="A581" s="28"/>
      <c r="B581" s="28"/>
      <c r="C581" s="28"/>
      <c r="D581" s="28"/>
      <c r="E581" s="28"/>
    </row>
    <row r="582">
      <c r="A582" s="28"/>
      <c r="B582" s="28"/>
      <c r="C582" s="28"/>
      <c r="D582" s="28"/>
      <c r="E582" s="28"/>
    </row>
    <row r="583">
      <c r="A583" s="28"/>
      <c r="B583" s="28"/>
      <c r="C583" s="28"/>
      <c r="D583" s="28"/>
      <c r="E583" s="28"/>
    </row>
    <row r="584">
      <c r="A584" s="28"/>
      <c r="B584" s="28"/>
      <c r="C584" s="28"/>
      <c r="D584" s="28"/>
      <c r="E584" s="28"/>
    </row>
    <row r="585">
      <c r="A585" s="28"/>
      <c r="B585" s="28"/>
      <c r="C585" s="28"/>
      <c r="D585" s="28"/>
      <c r="E585" s="28"/>
    </row>
    <row r="586">
      <c r="A586" s="28"/>
      <c r="B586" s="28"/>
      <c r="C586" s="28"/>
      <c r="D586" s="28"/>
      <c r="E586" s="28"/>
    </row>
    <row r="587">
      <c r="A587" s="28"/>
      <c r="B587" s="28"/>
      <c r="C587" s="28"/>
      <c r="D587" s="28"/>
      <c r="E587" s="28"/>
    </row>
    <row r="588">
      <c r="A588" s="28"/>
      <c r="B588" s="28"/>
      <c r="C588" s="28"/>
      <c r="D588" s="28"/>
      <c r="E588" s="28"/>
    </row>
    <row r="589">
      <c r="A589" s="28"/>
      <c r="B589" s="28"/>
      <c r="C589" s="28"/>
      <c r="D589" s="28"/>
      <c r="E589" s="28"/>
    </row>
    <row r="590">
      <c r="A590" s="28"/>
      <c r="B590" s="28"/>
      <c r="C590" s="28"/>
      <c r="D590" s="28"/>
      <c r="E590" s="28"/>
    </row>
    <row r="591">
      <c r="A591" s="28"/>
      <c r="B591" s="28"/>
      <c r="C591" s="28"/>
      <c r="D591" s="28"/>
      <c r="E591" s="28"/>
    </row>
    <row r="592">
      <c r="A592" s="28"/>
      <c r="B592" s="28"/>
      <c r="C592" s="28"/>
      <c r="D592" s="28"/>
      <c r="E592" s="28"/>
    </row>
    <row r="593">
      <c r="A593" s="28"/>
      <c r="B593" s="28"/>
      <c r="C593" s="28"/>
      <c r="D593" s="28"/>
      <c r="E593" s="28"/>
    </row>
    <row r="594">
      <c r="A594" s="28"/>
      <c r="B594" s="28"/>
      <c r="C594" s="28"/>
      <c r="D594" s="28"/>
      <c r="E594" s="28"/>
    </row>
    <row r="595">
      <c r="A595" s="28"/>
      <c r="B595" s="28"/>
      <c r="C595" s="28"/>
      <c r="D595" s="28"/>
      <c r="E595" s="28"/>
    </row>
    <row r="596">
      <c r="A596" s="28"/>
      <c r="B596" s="28"/>
      <c r="C596" s="28"/>
      <c r="D596" s="28"/>
      <c r="E596" s="28"/>
    </row>
    <row r="597">
      <c r="A597" s="28"/>
      <c r="B597" s="28"/>
      <c r="C597" s="28"/>
      <c r="D597" s="28"/>
      <c r="E597" s="28"/>
    </row>
    <row r="598">
      <c r="A598" s="28"/>
      <c r="B598" s="28"/>
      <c r="C598" s="28"/>
      <c r="D598" s="28"/>
      <c r="E598" s="28"/>
    </row>
    <row r="599">
      <c r="A599" s="28"/>
      <c r="B599" s="28"/>
      <c r="C599" s="28"/>
      <c r="D599" s="28"/>
      <c r="E599" s="28"/>
    </row>
    <row r="600">
      <c r="A600" s="28"/>
      <c r="B600" s="28"/>
      <c r="C600" s="28"/>
      <c r="D600" s="28"/>
      <c r="E600" s="28"/>
    </row>
    <row r="601">
      <c r="A601" s="28"/>
      <c r="B601" s="28"/>
      <c r="C601" s="28"/>
      <c r="D601" s="28"/>
      <c r="E601" s="28"/>
    </row>
    <row r="602">
      <c r="A602" s="28"/>
      <c r="B602" s="28"/>
      <c r="C602" s="28"/>
      <c r="D602" s="28"/>
      <c r="E602" s="28"/>
    </row>
    <row r="603">
      <c r="A603" s="28"/>
      <c r="B603" s="28"/>
      <c r="C603" s="28"/>
      <c r="D603" s="28"/>
      <c r="E603" s="28"/>
    </row>
    <row r="604">
      <c r="A604" s="28"/>
      <c r="B604" s="28"/>
      <c r="C604" s="28"/>
      <c r="D604" s="28"/>
      <c r="E604" s="28"/>
    </row>
    <row r="605">
      <c r="A605" s="28"/>
      <c r="B605" s="28"/>
      <c r="C605" s="28"/>
      <c r="D605" s="28"/>
      <c r="E605" s="28"/>
    </row>
    <row r="606">
      <c r="A606" s="28"/>
      <c r="B606" s="28"/>
      <c r="C606" s="28"/>
      <c r="D606" s="28"/>
      <c r="E606" s="28"/>
    </row>
    <row r="607">
      <c r="A607" s="28"/>
      <c r="B607" s="28"/>
      <c r="C607" s="28"/>
      <c r="D607" s="28"/>
      <c r="E607" s="28"/>
    </row>
    <row r="608">
      <c r="A608" s="28"/>
      <c r="B608" s="28"/>
      <c r="C608" s="28"/>
      <c r="D608" s="28"/>
      <c r="E608" s="28"/>
    </row>
    <row r="609">
      <c r="A609" s="28"/>
      <c r="B609" s="28"/>
      <c r="C609" s="28"/>
      <c r="D609" s="28"/>
      <c r="E609" s="28"/>
    </row>
    <row r="610">
      <c r="A610" s="28"/>
      <c r="B610" s="28"/>
      <c r="C610" s="28"/>
      <c r="D610" s="28"/>
      <c r="E610" s="28"/>
    </row>
    <row r="611">
      <c r="A611" s="28"/>
      <c r="B611" s="28"/>
      <c r="C611" s="28"/>
      <c r="D611" s="28"/>
      <c r="E611" s="28"/>
    </row>
    <row r="612">
      <c r="A612" s="28"/>
      <c r="B612" s="28"/>
      <c r="C612" s="28"/>
      <c r="D612" s="28"/>
      <c r="E612" s="28"/>
    </row>
    <row r="613">
      <c r="A613" s="28"/>
      <c r="B613" s="28"/>
      <c r="C613" s="28"/>
      <c r="D613" s="28"/>
      <c r="E613" s="28"/>
    </row>
    <row r="614">
      <c r="A614" s="28"/>
      <c r="B614" s="28"/>
      <c r="C614" s="28"/>
      <c r="D614" s="28"/>
      <c r="E614" s="28"/>
    </row>
    <row r="615">
      <c r="A615" s="28"/>
      <c r="B615" s="28"/>
      <c r="C615" s="28"/>
      <c r="D615" s="28"/>
      <c r="E615" s="28"/>
    </row>
    <row r="616">
      <c r="A616" s="28"/>
      <c r="B616" s="28"/>
      <c r="C616" s="28"/>
      <c r="D616" s="28"/>
      <c r="E616" s="28"/>
    </row>
    <row r="617">
      <c r="A617" s="28"/>
      <c r="B617" s="28"/>
      <c r="C617" s="28"/>
      <c r="D617" s="28"/>
      <c r="E617" s="28"/>
    </row>
    <row r="618">
      <c r="A618" s="28"/>
      <c r="B618" s="28"/>
      <c r="C618" s="28"/>
      <c r="D618" s="28"/>
      <c r="E618" s="28"/>
    </row>
    <row r="619">
      <c r="A619" s="28"/>
      <c r="B619" s="28"/>
      <c r="C619" s="28"/>
      <c r="D619" s="28"/>
      <c r="E619" s="28"/>
    </row>
    <row r="620">
      <c r="A620" s="28"/>
      <c r="B620" s="28"/>
      <c r="C620" s="28"/>
      <c r="D620" s="28"/>
      <c r="E620" s="28"/>
    </row>
    <row r="621">
      <c r="A621" s="28"/>
      <c r="B621" s="28"/>
      <c r="C621" s="28"/>
      <c r="D621" s="28"/>
      <c r="E621" s="28"/>
    </row>
    <row r="622">
      <c r="A622" s="28"/>
      <c r="B622" s="28"/>
      <c r="C622" s="28"/>
      <c r="D622" s="28"/>
      <c r="E622" s="28"/>
    </row>
    <row r="623">
      <c r="A623" s="28"/>
      <c r="B623" s="28"/>
      <c r="C623" s="28"/>
      <c r="D623" s="28"/>
      <c r="E623" s="28"/>
    </row>
    <row r="624">
      <c r="A624" s="28"/>
      <c r="B624" s="28"/>
      <c r="C624" s="28"/>
      <c r="D624" s="28"/>
      <c r="E624" s="28"/>
    </row>
    <row r="625">
      <c r="A625" s="28"/>
      <c r="B625" s="28"/>
      <c r="C625" s="28"/>
      <c r="D625" s="28"/>
      <c r="E625" s="28"/>
    </row>
    <row r="626">
      <c r="A626" s="28"/>
      <c r="B626" s="28"/>
      <c r="C626" s="28"/>
      <c r="D626" s="28"/>
      <c r="E626" s="28"/>
    </row>
    <row r="627">
      <c r="A627" s="28"/>
      <c r="B627" s="28"/>
      <c r="C627" s="28"/>
      <c r="D627" s="28"/>
      <c r="E627" s="28"/>
    </row>
    <row r="628">
      <c r="A628" s="28"/>
      <c r="B628" s="28"/>
      <c r="C628" s="28"/>
      <c r="D628" s="28"/>
      <c r="E628" s="28"/>
    </row>
    <row r="629">
      <c r="A629" s="28"/>
      <c r="B629" s="28"/>
      <c r="C629" s="28"/>
      <c r="D629" s="28"/>
      <c r="E629" s="28"/>
    </row>
    <row r="630">
      <c r="A630" s="28"/>
      <c r="B630" s="28"/>
      <c r="C630" s="28"/>
      <c r="D630" s="28"/>
      <c r="E630" s="28"/>
    </row>
    <row r="631">
      <c r="A631" s="28"/>
      <c r="B631" s="28"/>
      <c r="C631" s="28"/>
      <c r="D631" s="28"/>
      <c r="E631" s="28"/>
    </row>
    <row r="632">
      <c r="A632" s="28"/>
      <c r="B632" s="28"/>
      <c r="C632" s="28"/>
      <c r="D632" s="28"/>
      <c r="E632" s="28"/>
    </row>
    <row r="633">
      <c r="A633" s="28"/>
      <c r="B633" s="28"/>
      <c r="C633" s="28"/>
      <c r="D633" s="28"/>
      <c r="E633" s="28"/>
    </row>
    <row r="634">
      <c r="A634" s="28"/>
      <c r="B634" s="28"/>
      <c r="C634" s="28"/>
      <c r="D634" s="28"/>
      <c r="E634" s="28"/>
    </row>
    <row r="635">
      <c r="A635" s="28"/>
      <c r="B635" s="28"/>
      <c r="C635" s="28"/>
      <c r="D635" s="28"/>
      <c r="E635" s="28"/>
    </row>
    <row r="636">
      <c r="A636" s="28"/>
      <c r="B636" s="28"/>
      <c r="C636" s="28"/>
      <c r="D636" s="28"/>
      <c r="E636" s="28"/>
    </row>
    <row r="637">
      <c r="A637" s="28"/>
      <c r="B637" s="28"/>
      <c r="C637" s="28"/>
      <c r="D637" s="28"/>
      <c r="E637" s="28"/>
    </row>
    <row r="638">
      <c r="A638" s="28"/>
      <c r="B638" s="28"/>
      <c r="C638" s="28"/>
      <c r="D638" s="28"/>
      <c r="E638" s="28"/>
    </row>
    <row r="639">
      <c r="A639" s="28"/>
      <c r="B639" s="28"/>
      <c r="C639" s="28"/>
      <c r="D639" s="28"/>
      <c r="E639" s="28"/>
    </row>
    <row r="640">
      <c r="A640" s="28"/>
      <c r="B640" s="28"/>
      <c r="C640" s="28"/>
      <c r="D640" s="28"/>
      <c r="E640" s="28"/>
    </row>
    <row r="641">
      <c r="A641" s="28"/>
      <c r="B641" s="28"/>
      <c r="C641" s="28"/>
      <c r="D641" s="28"/>
      <c r="E641" s="28"/>
    </row>
    <row r="642">
      <c r="A642" s="28"/>
      <c r="B642" s="28"/>
      <c r="C642" s="28"/>
      <c r="D642" s="28"/>
      <c r="E642" s="28"/>
    </row>
    <row r="643">
      <c r="A643" s="28"/>
      <c r="B643" s="28"/>
      <c r="C643" s="28"/>
      <c r="D643" s="28"/>
      <c r="E643" s="28"/>
    </row>
    <row r="644">
      <c r="A644" s="28"/>
      <c r="B644" s="28"/>
      <c r="C644" s="28"/>
      <c r="D644" s="28"/>
      <c r="E644" s="28"/>
    </row>
    <row r="645">
      <c r="A645" s="28"/>
      <c r="B645" s="28"/>
      <c r="C645" s="28"/>
      <c r="D645" s="28"/>
      <c r="E645" s="28"/>
    </row>
    <row r="646">
      <c r="A646" s="28"/>
      <c r="B646" s="28"/>
      <c r="C646" s="28"/>
      <c r="D646" s="28"/>
      <c r="E646" s="28"/>
    </row>
    <row r="647">
      <c r="A647" s="28"/>
      <c r="B647" s="28"/>
      <c r="C647" s="28"/>
      <c r="D647" s="28"/>
      <c r="E647" s="28"/>
    </row>
    <row r="648">
      <c r="A648" s="28"/>
      <c r="B648" s="28"/>
      <c r="C648" s="28"/>
      <c r="D648" s="28"/>
      <c r="E648" s="28"/>
    </row>
    <row r="649">
      <c r="A649" s="28"/>
      <c r="B649" s="28"/>
      <c r="C649" s="28"/>
      <c r="D649" s="28"/>
      <c r="E649" s="28"/>
    </row>
    <row r="650">
      <c r="A650" s="28"/>
      <c r="B650" s="28"/>
      <c r="C650" s="28"/>
      <c r="D650" s="28"/>
      <c r="E650" s="28"/>
    </row>
    <row r="651">
      <c r="A651" s="28"/>
      <c r="B651" s="28"/>
      <c r="C651" s="28"/>
      <c r="D651" s="28"/>
      <c r="E651" s="28"/>
    </row>
    <row r="652">
      <c r="A652" s="28"/>
      <c r="B652" s="28"/>
      <c r="C652" s="28"/>
      <c r="D652" s="28"/>
      <c r="E652" s="28"/>
    </row>
    <row r="653">
      <c r="A653" s="28"/>
      <c r="B653" s="28"/>
      <c r="C653" s="28"/>
      <c r="D653" s="28"/>
      <c r="E653" s="28"/>
    </row>
    <row r="654">
      <c r="A654" s="28"/>
      <c r="B654" s="28"/>
      <c r="C654" s="28"/>
      <c r="D654" s="28"/>
      <c r="E654" s="28"/>
    </row>
    <row r="655">
      <c r="A655" s="28"/>
      <c r="B655" s="28"/>
      <c r="C655" s="28"/>
      <c r="D655" s="28"/>
      <c r="E655" s="28"/>
    </row>
    <row r="656">
      <c r="A656" s="28"/>
      <c r="B656" s="28"/>
      <c r="C656" s="28"/>
      <c r="D656" s="28"/>
      <c r="E656" s="28"/>
    </row>
    <row r="657">
      <c r="A657" s="28"/>
      <c r="B657" s="28"/>
      <c r="C657" s="28"/>
      <c r="D657" s="28"/>
      <c r="E657" s="28"/>
    </row>
    <row r="658">
      <c r="A658" s="28"/>
      <c r="B658" s="28"/>
      <c r="C658" s="28"/>
      <c r="D658" s="28"/>
      <c r="E658" s="28"/>
    </row>
    <row r="659">
      <c r="A659" s="28"/>
      <c r="B659" s="28"/>
      <c r="C659" s="28"/>
      <c r="D659" s="28"/>
      <c r="E659" s="28"/>
    </row>
    <row r="660">
      <c r="A660" s="28"/>
      <c r="B660" s="28"/>
      <c r="C660" s="28"/>
      <c r="D660" s="28"/>
      <c r="E660" s="28"/>
    </row>
    <row r="661">
      <c r="A661" s="28"/>
      <c r="B661" s="28"/>
      <c r="C661" s="28"/>
      <c r="D661" s="28"/>
      <c r="E661" s="28"/>
    </row>
    <row r="662">
      <c r="A662" s="28"/>
      <c r="B662" s="28"/>
      <c r="C662" s="28"/>
      <c r="D662" s="28"/>
      <c r="E662" s="28"/>
    </row>
    <row r="663">
      <c r="A663" s="28"/>
      <c r="B663" s="28"/>
      <c r="C663" s="28"/>
      <c r="D663" s="28"/>
      <c r="E663" s="28"/>
    </row>
    <row r="664">
      <c r="A664" s="28"/>
      <c r="B664" s="28"/>
      <c r="C664" s="28"/>
      <c r="D664" s="28"/>
      <c r="E664" s="28"/>
    </row>
    <row r="665">
      <c r="A665" s="28"/>
      <c r="B665" s="28"/>
      <c r="C665" s="28"/>
      <c r="D665" s="28"/>
      <c r="E665" s="28"/>
    </row>
    <row r="666">
      <c r="A666" s="28"/>
      <c r="B666" s="28"/>
      <c r="C666" s="28"/>
      <c r="D666" s="28"/>
      <c r="E666" s="28"/>
    </row>
    <row r="667">
      <c r="A667" s="28"/>
      <c r="B667" s="28"/>
      <c r="C667" s="28"/>
      <c r="D667" s="28"/>
      <c r="E667" s="28"/>
    </row>
    <row r="668">
      <c r="A668" s="28"/>
      <c r="B668" s="28"/>
      <c r="C668" s="28"/>
      <c r="D668" s="28"/>
      <c r="E668" s="28"/>
    </row>
    <row r="669">
      <c r="A669" s="28"/>
      <c r="B669" s="28"/>
      <c r="C669" s="28"/>
      <c r="D669" s="28"/>
      <c r="E669" s="28"/>
    </row>
    <row r="670">
      <c r="A670" s="28"/>
      <c r="B670" s="28"/>
      <c r="C670" s="28"/>
      <c r="D670" s="28"/>
      <c r="E670" s="28"/>
    </row>
    <row r="671">
      <c r="A671" s="28"/>
      <c r="B671" s="28"/>
      <c r="C671" s="28"/>
      <c r="D671" s="28"/>
      <c r="E671" s="28"/>
    </row>
    <row r="672">
      <c r="A672" s="28"/>
      <c r="B672" s="28"/>
      <c r="C672" s="28"/>
      <c r="D672" s="28"/>
      <c r="E672" s="28"/>
    </row>
    <row r="673">
      <c r="A673" s="28"/>
      <c r="B673" s="28"/>
      <c r="C673" s="28"/>
      <c r="D673" s="28"/>
      <c r="E673" s="28"/>
    </row>
    <row r="674">
      <c r="A674" s="28"/>
      <c r="B674" s="28"/>
      <c r="C674" s="28"/>
      <c r="D674" s="28"/>
      <c r="E674" s="28"/>
    </row>
    <row r="675">
      <c r="A675" s="28"/>
      <c r="B675" s="28"/>
      <c r="C675" s="28"/>
      <c r="D675" s="28"/>
      <c r="E675" s="28"/>
    </row>
    <row r="676">
      <c r="A676" s="28"/>
      <c r="B676" s="28"/>
      <c r="C676" s="28"/>
      <c r="D676" s="28"/>
      <c r="E676" s="28"/>
    </row>
    <row r="677">
      <c r="A677" s="28"/>
      <c r="B677" s="28"/>
      <c r="C677" s="28"/>
      <c r="D677" s="28"/>
      <c r="E677" s="28"/>
    </row>
    <row r="678">
      <c r="A678" s="28"/>
      <c r="B678" s="28"/>
      <c r="C678" s="28"/>
      <c r="D678" s="28"/>
      <c r="E678" s="28"/>
    </row>
    <row r="679">
      <c r="A679" s="28"/>
      <c r="B679" s="28"/>
      <c r="C679" s="28"/>
      <c r="D679" s="28"/>
      <c r="E679" s="28"/>
    </row>
    <row r="680">
      <c r="A680" s="28"/>
      <c r="B680" s="28"/>
      <c r="C680" s="28"/>
      <c r="D680" s="28"/>
      <c r="E680" s="28"/>
    </row>
    <row r="681">
      <c r="A681" s="28"/>
      <c r="B681" s="28"/>
      <c r="C681" s="28"/>
      <c r="D681" s="28"/>
      <c r="E681" s="28"/>
    </row>
    <row r="682">
      <c r="A682" s="28"/>
      <c r="B682" s="28"/>
      <c r="C682" s="28"/>
      <c r="D682" s="28"/>
      <c r="E682" s="28"/>
    </row>
    <row r="683">
      <c r="A683" s="28"/>
      <c r="B683" s="28"/>
      <c r="C683" s="28"/>
      <c r="D683" s="28"/>
      <c r="E683" s="28"/>
    </row>
    <row r="684">
      <c r="A684" s="28"/>
      <c r="B684" s="28"/>
      <c r="C684" s="28"/>
      <c r="D684" s="28"/>
      <c r="E684" s="28"/>
    </row>
    <row r="685">
      <c r="A685" s="28"/>
      <c r="B685" s="28"/>
      <c r="C685" s="28"/>
      <c r="D685" s="28"/>
      <c r="E685" s="28"/>
    </row>
    <row r="686">
      <c r="A686" s="28"/>
      <c r="B686" s="28"/>
      <c r="C686" s="28"/>
      <c r="D686" s="28"/>
      <c r="E686" s="28"/>
    </row>
    <row r="687">
      <c r="A687" s="28"/>
      <c r="B687" s="28"/>
      <c r="C687" s="28"/>
      <c r="D687" s="28"/>
      <c r="E687" s="28"/>
    </row>
    <row r="688">
      <c r="A688" s="28"/>
      <c r="B688" s="28"/>
      <c r="C688" s="28"/>
      <c r="D688" s="28"/>
      <c r="E688" s="28"/>
    </row>
    <row r="689">
      <c r="A689" s="28"/>
      <c r="B689" s="28"/>
      <c r="C689" s="28"/>
      <c r="D689" s="28"/>
      <c r="E689" s="28"/>
    </row>
    <row r="690">
      <c r="A690" s="28"/>
      <c r="B690" s="28"/>
      <c r="C690" s="28"/>
      <c r="D690" s="28"/>
      <c r="E690" s="28"/>
    </row>
    <row r="691">
      <c r="A691" s="28"/>
      <c r="B691" s="28"/>
      <c r="C691" s="28"/>
      <c r="D691" s="28"/>
      <c r="E691" s="28"/>
    </row>
    <row r="692">
      <c r="A692" s="28"/>
      <c r="B692" s="28"/>
      <c r="C692" s="28"/>
      <c r="D692" s="28"/>
      <c r="E692" s="28"/>
    </row>
    <row r="693">
      <c r="A693" s="28"/>
      <c r="B693" s="28"/>
      <c r="C693" s="28"/>
      <c r="D693" s="28"/>
      <c r="E693" s="28"/>
    </row>
    <row r="694">
      <c r="A694" s="28"/>
      <c r="B694" s="28"/>
      <c r="C694" s="28"/>
      <c r="D694" s="28"/>
      <c r="E694" s="28"/>
    </row>
    <row r="695">
      <c r="A695" s="28"/>
      <c r="B695" s="28"/>
      <c r="C695" s="28"/>
      <c r="D695" s="28"/>
      <c r="E695" s="28"/>
    </row>
    <row r="696">
      <c r="A696" s="28"/>
      <c r="B696" s="28"/>
      <c r="C696" s="28"/>
      <c r="D696" s="28"/>
      <c r="E696" s="28"/>
    </row>
    <row r="697">
      <c r="A697" s="28"/>
      <c r="B697" s="28"/>
      <c r="C697" s="28"/>
      <c r="D697" s="28"/>
      <c r="E697" s="28"/>
    </row>
    <row r="698">
      <c r="A698" s="28"/>
      <c r="B698" s="28"/>
      <c r="C698" s="28"/>
      <c r="D698" s="28"/>
      <c r="E698" s="28"/>
    </row>
    <row r="699">
      <c r="A699" s="28"/>
      <c r="B699" s="28"/>
      <c r="C699" s="28"/>
      <c r="D699" s="28"/>
      <c r="E699" s="28"/>
    </row>
    <row r="700">
      <c r="A700" s="28"/>
      <c r="B700" s="28"/>
      <c r="C700" s="28"/>
      <c r="D700" s="28"/>
      <c r="E700" s="28"/>
    </row>
    <row r="701">
      <c r="A701" s="28"/>
      <c r="B701" s="28"/>
      <c r="C701" s="28"/>
      <c r="D701" s="28"/>
      <c r="E701" s="28"/>
    </row>
    <row r="702">
      <c r="A702" s="28"/>
      <c r="B702" s="28"/>
      <c r="C702" s="28"/>
      <c r="D702" s="28"/>
      <c r="E702" s="28"/>
    </row>
    <row r="703">
      <c r="A703" s="28"/>
      <c r="B703" s="28"/>
      <c r="C703" s="28"/>
      <c r="D703" s="28"/>
      <c r="E703" s="28"/>
    </row>
    <row r="704">
      <c r="A704" s="28"/>
      <c r="B704" s="28"/>
      <c r="C704" s="28"/>
      <c r="D704" s="28"/>
      <c r="E704" s="28"/>
    </row>
    <row r="705">
      <c r="A705" s="28"/>
      <c r="B705" s="28"/>
      <c r="C705" s="28"/>
      <c r="D705" s="28"/>
      <c r="E705" s="28"/>
    </row>
    <row r="706">
      <c r="A706" s="28"/>
      <c r="B706" s="28"/>
      <c r="C706" s="28"/>
      <c r="D706" s="28"/>
      <c r="E706" s="28"/>
    </row>
    <row r="707">
      <c r="A707" s="28"/>
      <c r="B707" s="28"/>
      <c r="C707" s="28"/>
      <c r="D707" s="28"/>
      <c r="E707" s="28"/>
    </row>
    <row r="708">
      <c r="A708" s="28"/>
      <c r="B708" s="28"/>
      <c r="C708" s="28"/>
      <c r="D708" s="28"/>
      <c r="E708" s="28"/>
    </row>
    <row r="709">
      <c r="A709" s="28"/>
      <c r="B709" s="28"/>
      <c r="C709" s="28"/>
      <c r="D709" s="28"/>
      <c r="E709" s="28"/>
    </row>
    <row r="710">
      <c r="A710" s="28"/>
      <c r="B710" s="28"/>
      <c r="C710" s="28"/>
      <c r="D710" s="28"/>
      <c r="E710" s="28"/>
    </row>
    <row r="711">
      <c r="A711" s="28"/>
      <c r="B711" s="28"/>
      <c r="C711" s="28"/>
      <c r="D711" s="28"/>
      <c r="E711" s="28"/>
    </row>
    <row r="712">
      <c r="A712" s="28"/>
      <c r="B712" s="28"/>
      <c r="C712" s="28"/>
      <c r="D712" s="28"/>
      <c r="E712" s="28"/>
    </row>
    <row r="713">
      <c r="A713" s="28"/>
      <c r="B713" s="28"/>
      <c r="C713" s="28"/>
      <c r="D713" s="28"/>
      <c r="E713" s="28"/>
    </row>
    <row r="714">
      <c r="A714" s="28"/>
      <c r="B714" s="28"/>
      <c r="C714" s="28"/>
      <c r="D714" s="28"/>
      <c r="E714" s="28"/>
    </row>
    <row r="715">
      <c r="A715" s="28"/>
      <c r="B715" s="28"/>
      <c r="C715" s="28"/>
      <c r="D715" s="28"/>
      <c r="E715" s="28"/>
    </row>
    <row r="716">
      <c r="A716" s="28"/>
      <c r="B716" s="28"/>
      <c r="C716" s="28"/>
      <c r="D716" s="28"/>
      <c r="E716" s="28"/>
    </row>
    <row r="717">
      <c r="A717" s="28"/>
      <c r="B717" s="28"/>
      <c r="C717" s="28"/>
      <c r="D717" s="28"/>
      <c r="E717" s="28"/>
    </row>
    <row r="718">
      <c r="A718" s="28"/>
      <c r="B718" s="28"/>
      <c r="C718" s="28"/>
      <c r="D718" s="28"/>
      <c r="E718" s="28"/>
    </row>
    <row r="719">
      <c r="A719" s="28"/>
      <c r="B719" s="28"/>
      <c r="C719" s="28"/>
      <c r="D719" s="28"/>
      <c r="E719" s="28"/>
    </row>
    <row r="720">
      <c r="A720" s="28"/>
      <c r="B720" s="28"/>
      <c r="C720" s="28"/>
      <c r="D720" s="28"/>
      <c r="E720" s="28"/>
    </row>
    <row r="721">
      <c r="A721" s="28"/>
      <c r="B721" s="28"/>
      <c r="C721" s="28"/>
      <c r="D721" s="28"/>
      <c r="E721" s="28"/>
    </row>
    <row r="722">
      <c r="A722" s="28"/>
      <c r="B722" s="28"/>
      <c r="C722" s="28"/>
      <c r="D722" s="28"/>
      <c r="E722" s="28"/>
    </row>
    <row r="723">
      <c r="A723" s="28"/>
      <c r="B723" s="28"/>
      <c r="C723" s="28"/>
      <c r="D723" s="28"/>
      <c r="E723" s="28"/>
    </row>
    <row r="724">
      <c r="A724" s="28"/>
      <c r="B724" s="28"/>
      <c r="C724" s="28"/>
      <c r="D724" s="28"/>
      <c r="E724" s="28"/>
    </row>
    <row r="725">
      <c r="A725" s="28"/>
      <c r="B725" s="28"/>
      <c r="C725" s="28"/>
      <c r="D725" s="28"/>
      <c r="E725" s="28"/>
    </row>
    <row r="726">
      <c r="A726" s="28"/>
      <c r="B726" s="28"/>
      <c r="C726" s="28"/>
      <c r="D726" s="28"/>
      <c r="E726" s="28"/>
    </row>
    <row r="727">
      <c r="A727" s="28"/>
      <c r="B727" s="28"/>
      <c r="C727" s="28"/>
      <c r="D727" s="28"/>
      <c r="E727" s="28"/>
    </row>
    <row r="728">
      <c r="A728" s="28"/>
      <c r="B728" s="28"/>
      <c r="C728" s="28"/>
      <c r="D728" s="28"/>
      <c r="E728" s="28"/>
    </row>
    <row r="729">
      <c r="A729" s="28"/>
      <c r="B729" s="28"/>
      <c r="C729" s="28"/>
      <c r="D729" s="28"/>
      <c r="E729" s="28"/>
    </row>
    <row r="730">
      <c r="A730" s="28"/>
      <c r="B730" s="28"/>
      <c r="C730" s="28"/>
      <c r="D730" s="28"/>
      <c r="E730" s="28"/>
    </row>
    <row r="731">
      <c r="A731" s="28"/>
      <c r="B731" s="28"/>
      <c r="C731" s="28"/>
      <c r="D731" s="28"/>
      <c r="E731" s="28"/>
    </row>
    <row r="732">
      <c r="A732" s="28"/>
      <c r="B732" s="28"/>
      <c r="C732" s="28"/>
      <c r="D732" s="28"/>
      <c r="E732" s="28"/>
    </row>
    <row r="733">
      <c r="A733" s="28"/>
      <c r="B733" s="28"/>
      <c r="C733" s="28"/>
      <c r="D733" s="28"/>
      <c r="E733" s="28"/>
    </row>
    <row r="734">
      <c r="A734" s="28"/>
      <c r="B734" s="28"/>
      <c r="C734" s="28"/>
      <c r="D734" s="28"/>
      <c r="E734" s="28"/>
    </row>
    <row r="735">
      <c r="A735" s="28"/>
      <c r="B735" s="28"/>
      <c r="C735" s="28"/>
      <c r="D735" s="28"/>
      <c r="E735" s="28"/>
    </row>
    <row r="736">
      <c r="A736" s="28"/>
      <c r="B736" s="28"/>
      <c r="C736" s="28"/>
      <c r="D736" s="28"/>
      <c r="E736" s="28"/>
    </row>
    <row r="737">
      <c r="A737" s="28"/>
      <c r="B737" s="28"/>
      <c r="C737" s="28"/>
      <c r="D737" s="28"/>
      <c r="E737" s="28"/>
    </row>
    <row r="738">
      <c r="A738" s="28"/>
      <c r="B738" s="28"/>
      <c r="C738" s="28"/>
      <c r="D738" s="28"/>
      <c r="E738" s="28"/>
    </row>
    <row r="739">
      <c r="A739" s="28"/>
      <c r="B739" s="28"/>
      <c r="C739" s="28"/>
      <c r="D739" s="28"/>
      <c r="E739" s="28"/>
    </row>
    <row r="740">
      <c r="A740" s="28"/>
      <c r="B740" s="28"/>
      <c r="C740" s="28"/>
      <c r="D740" s="28"/>
      <c r="E740" s="28"/>
    </row>
    <row r="741">
      <c r="A741" s="28"/>
      <c r="B741" s="28"/>
      <c r="C741" s="28"/>
      <c r="D741" s="28"/>
      <c r="E741" s="28"/>
    </row>
    <row r="742">
      <c r="A742" s="28"/>
      <c r="B742" s="28"/>
      <c r="C742" s="28"/>
      <c r="D742" s="28"/>
      <c r="E742" s="28"/>
    </row>
    <row r="743">
      <c r="A743" s="28"/>
      <c r="B743" s="28"/>
      <c r="C743" s="28"/>
      <c r="D743" s="28"/>
      <c r="E743" s="28"/>
    </row>
    <row r="744">
      <c r="A744" s="28"/>
      <c r="B744" s="28"/>
      <c r="C744" s="28"/>
      <c r="D744" s="28"/>
      <c r="E744" s="28"/>
    </row>
    <row r="745">
      <c r="A745" s="28"/>
      <c r="B745" s="28"/>
      <c r="C745" s="28"/>
      <c r="D745" s="28"/>
      <c r="E745" s="28"/>
    </row>
    <row r="746">
      <c r="A746" s="28"/>
      <c r="B746" s="28"/>
      <c r="C746" s="28"/>
      <c r="D746" s="28"/>
      <c r="E746" s="28"/>
    </row>
    <row r="747">
      <c r="A747" s="28"/>
      <c r="B747" s="28"/>
      <c r="C747" s="28"/>
      <c r="D747" s="28"/>
      <c r="E747" s="28"/>
    </row>
    <row r="748">
      <c r="A748" s="28"/>
      <c r="B748" s="28"/>
      <c r="C748" s="28"/>
      <c r="D748" s="28"/>
      <c r="E748" s="28"/>
    </row>
    <row r="749">
      <c r="A749" s="28"/>
      <c r="B749" s="28"/>
      <c r="C749" s="28"/>
      <c r="D749" s="28"/>
      <c r="E749" s="28"/>
    </row>
    <row r="750">
      <c r="A750" s="28"/>
      <c r="B750" s="28"/>
      <c r="C750" s="28"/>
      <c r="D750" s="28"/>
      <c r="E750" s="28"/>
    </row>
    <row r="751">
      <c r="A751" s="28"/>
      <c r="B751" s="28"/>
      <c r="C751" s="28"/>
      <c r="D751" s="28"/>
      <c r="E751" s="28"/>
    </row>
    <row r="752">
      <c r="A752" s="28"/>
      <c r="B752" s="28"/>
      <c r="C752" s="28"/>
      <c r="D752" s="28"/>
      <c r="E752" s="28"/>
    </row>
    <row r="753">
      <c r="A753" s="28"/>
      <c r="B753" s="28"/>
      <c r="C753" s="28"/>
      <c r="D753" s="28"/>
      <c r="E753" s="28"/>
    </row>
    <row r="754">
      <c r="A754" s="28"/>
      <c r="B754" s="28"/>
      <c r="C754" s="28"/>
      <c r="D754" s="28"/>
      <c r="E754" s="28"/>
    </row>
    <row r="755">
      <c r="A755" s="28"/>
      <c r="B755" s="28"/>
      <c r="C755" s="28"/>
      <c r="D755" s="28"/>
      <c r="E755" s="28"/>
    </row>
    <row r="756">
      <c r="A756" s="28"/>
      <c r="B756" s="28"/>
      <c r="C756" s="28"/>
      <c r="D756" s="28"/>
      <c r="E756" s="28"/>
    </row>
    <row r="757">
      <c r="A757" s="28"/>
      <c r="B757" s="28"/>
      <c r="C757" s="28"/>
      <c r="D757" s="28"/>
      <c r="E757" s="28"/>
    </row>
    <row r="758">
      <c r="A758" s="28"/>
      <c r="B758" s="28"/>
      <c r="C758" s="28"/>
      <c r="D758" s="28"/>
      <c r="E758" s="28"/>
    </row>
    <row r="759">
      <c r="A759" s="28"/>
      <c r="B759" s="28"/>
      <c r="C759" s="28"/>
      <c r="D759" s="28"/>
      <c r="E759" s="28"/>
    </row>
    <row r="760">
      <c r="A760" s="28"/>
      <c r="B760" s="28"/>
      <c r="C760" s="28"/>
      <c r="D760" s="28"/>
      <c r="E760" s="28"/>
    </row>
    <row r="761">
      <c r="A761" s="28"/>
      <c r="B761" s="28"/>
      <c r="C761" s="28"/>
      <c r="D761" s="28"/>
      <c r="E761" s="28"/>
    </row>
    <row r="762">
      <c r="A762" s="28"/>
      <c r="B762" s="28"/>
      <c r="C762" s="28"/>
      <c r="D762" s="28"/>
      <c r="E762" s="28"/>
    </row>
    <row r="763">
      <c r="A763" s="28"/>
      <c r="B763" s="28"/>
      <c r="C763" s="28"/>
      <c r="D763" s="28"/>
      <c r="E763" s="28"/>
    </row>
    <row r="764">
      <c r="A764" s="28"/>
      <c r="B764" s="28"/>
      <c r="C764" s="28"/>
      <c r="D764" s="28"/>
      <c r="E764" s="28"/>
    </row>
    <row r="765">
      <c r="A765" s="28"/>
      <c r="B765" s="28"/>
      <c r="C765" s="28"/>
      <c r="D765" s="28"/>
      <c r="E765" s="28"/>
    </row>
    <row r="766">
      <c r="A766" s="28"/>
      <c r="B766" s="28"/>
      <c r="C766" s="28"/>
      <c r="D766" s="28"/>
      <c r="E766" s="28"/>
    </row>
    <row r="767">
      <c r="A767" s="28"/>
      <c r="B767" s="28"/>
      <c r="C767" s="28"/>
      <c r="D767" s="28"/>
      <c r="E767" s="28"/>
    </row>
    <row r="768">
      <c r="A768" s="28"/>
      <c r="B768" s="28"/>
      <c r="C768" s="28"/>
      <c r="D768" s="28"/>
      <c r="E768" s="28"/>
    </row>
    <row r="769">
      <c r="A769" s="28"/>
      <c r="B769" s="28"/>
      <c r="C769" s="28"/>
      <c r="D769" s="28"/>
      <c r="E769" s="28"/>
    </row>
    <row r="770">
      <c r="A770" s="28"/>
      <c r="B770" s="28"/>
      <c r="C770" s="28"/>
      <c r="D770" s="28"/>
      <c r="E770" s="28"/>
    </row>
    <row r="771">
      <c r="A771" s="28"/>
      <c r="B771" s="28"/>
      <c r="C771" s="28"/>
      <c r="D771" s="28"/>
      <c r="E771" s="28"/>
    </row>
    <row r="772">
      <c r="A772" s="28"/>
      <c r="B772" s="28"/>
      <c r="C772" s="28"/>
      <c r="D772" s="28"/>
      <c r="E772" s="28"/>
    </row>
    <row r="773">
      <c r="A773" s="28"/>
      <c r="B773" s="28"/>
      <c r="C773" s="28"/>
      <c r="D773" s="28"/>
      <c r="E773" s="28"/>
    </row>
    <row r="774">
      <c r="A774" s="28"/>
      <c r="B774" s="28"/>
      <c r="C774" s="28"/>
      <c r="D774" s="28"/>
      <c r="E774" s="28"/>
    </row>
    <row r="775">
      <c r="A775" s="28"/>
      <c r="B775" s="28"/>
      <c r="C775" s="28"/>
      <c r="D775" s="28"/>
      <c r="E775" s="28"/>
    </row>
    <row r="776">
      <c r="A776" s="28"/>
      <c r="B776" s="28"/>
      <c r="C776" s="28"/>
      <c r="D776" s="28"/>
      <c r="E776" s="28"/>
    </row>
    <row r="777">
      <c r="A777" s="28"/>
      <c r="B777" s="28"/>
      <c r="C777" s="28"/>
      <c r="D777" s="28"/>
      <c r="E777" s="28"/>
    </row>
    <row r="778">
      <c r="A778" s="28"/>
      <c r="B778" s="28"/>
      <c r="C778" s="28"/>
      <c r="D778" s="28"/>
      <c r="E778" s="28"/>
    </row>
    <row r="779">
      <c r="A779" s="28"/>
      <c r="B779" s="28"/>
      <c r="C779" s="28"/>
      <c r="D779" s="28"/>
      <c r="E779" s="28"/>
    </row>
    <row r="780">
      <c r="A780" s="28"/>
      <c r="B780" s="28"/>
      <c r="C780" s="28"/>
      <c r="D780" s="28"/>
      <c r="E780" s="28"/>
    </row>
    <row r="781">
      <c r="A781" s="28"/>
      <c r="B781" s="28"/>
      <c r="C781" s="28"/>
      <c r="D781" s="28"/>
      <c r="E781" s="28"/>
    </row>
    <row r="782">
      <c r="A782" s="28"/>
      <c r="B782" s="28"/>
      <c r="C782" s="28"/>
      <c r="D782" s="28"/>
      <c r="E782" s="28"/>
    </row>
    <row r="783">
      <c r="A783" s="28"/>
      <c r="B783" s="28"/>
      <c r="C783" s="28"/>
      <c r="D783" s="28"/>
      <c r="E783" s="28"/>
    </row>
    <row r="784">
      <c r="A784" s="28"/>
      <c r="B784" s="28"/>
      <c r="C784" s="28"/>
      <c r="D784" s="28"/>
      <c r="E784" s="28"/>
    </row>
    <row r="785">
      <c r="A785" s="28"/>
      <c r="B785" s="28"/>
      <c r="C785" s="28"/>
      <c r="D785" s="28"/>
      <c r="E785" s="28"/>
    </row>
    <row r="786">
      <c r="A786" s="28"/>
      <c r="B786" s="28"/>
      <c r="C786" s="28"/>
      <c r="D786" s="28"/>
      <c r="E786" s="28"/>
    </row>
    <row r="787">
      <c r="A787" s="28"/>
      <c r="B787" s="28"/>
      <c r="C787" s="28"/>
      <c r="D787" s="28"/>
      <c r="E787" s="28"/>
    </row>
    <row r="788">
      <c r="A788" s="28"/>
      <c r="B788" s="28"/>
      <c r="C788" s="28"/>
      <c r="D788" s="28"/>
      <c r="E788" s="28"/>
    </row>
    <row r="789">
      <c r="A789" s="28"/>
      <c r="B789" s="28"/>
      <c r="C789" s="28"/>
      <c r="D789" s="28"/>
      <c r="E789" s="28"/>
    </row>
    <row r="790">
      <c r="A790" s="28"/>
      <c r="B790" s="28"/>
      <c r="C790" s="28"/>
      <c r="D790" s="28"/>
      <c r="E790" s="28"/>
    </row>
    <row r="791">
      <c r="A791" s="28"/>
      <c r="B791" s="28"/>
      <c r="C791" s="28"/>
      <c r="D791" s="28"/>
      <c r="E791" s="28"/>
    </row>
    <row r="792">
      <c r="A792" s="28"/>
      <c r="B792" s="28"/>
      <c r="C792" s="28"/>
      <c r="D792" s="28"/>
      <c r="E792" s="28"/>
    </row>
    <row r="793">
      <c r="A793" s="28"/>
      <c r="B793" s="28"/>
      <c r="C793" s="28"/>
      <c r="D793" s="28"/>
      <c r="E793" s="28"/>
    </row>
    <row r="794">
      <c r="A794" s="28"/>
      <c r="B794" s="28"/>
      <c r="C794" s="28"/>
      <c r="D794" s="28"/>
      <c r="E794" s="28"/>
    </row>
    <row r="795">
      <c r="A795" s="28"/>
      <c r="B795" s="28"/>
      <c r="C795" s="28"/>
      <c r="D795" s="28"/>
      <c r="E795" s="28"/>
    </row>
    <row r="796">
      <c r="A796" s="28"/>
      <c r="B796" s="28"/>
      <c r="C796" s="28"/>
      <c r="D796" s="28"/>
      <c r="E796" s="28"/>
    </row>
    <row r="797">
      <c r="A797" s="28"/>
      <c r="B797" s="28"/>
      <c r="C797" s="28"/>
      <c r="D797" s="28"/>
      <c r="E797" s="28"/>
    </row>
    <row r="798">
      <c r="A798" s="28"/>
      <c r="B798" s="28"/>
      <c r="C798" s="28"/>
      <c r="D798" s="28"/>
      <c r="E798" s="28"/>
    </row>
    <row r="799">
      <c r="A799" s="28"/>
      <c r="B799" s="28"/>
      <c r="C799" s="28"/>
      <c r="D799" s="28"/>
      <c r="E799" s="28"/>
    </row>
    <row r="800">
      <c r="A800" s="28"/>
      <c r="B800" s="28"/>
      <c r="C800" s="28"/>
      <c r="D800" s="28"/>
      <c r="E800" s="28"/>
    </row>
    <row r="801">
      <c r="A801" s="28"/>
      <c r="B801" s="28"/>
      <c r="C801" s="28"/>
      <c r="D801" s="28"/>
      <c r="E801" s="28"/>
    </row>
    <row r="802">
      <c r="A802" s="28"/>
      <c r="B802" s="28"/>
      <c r="C802" s="28"/>
      <c r="D802" s="28"/>
      <c r="E802" s="28"/>
    </row>
    <row r="803">
      <c r="A803" s="28"/>
      <c r="B803" s="28"/>
      <c r="C803" s="28"/>
      <c r="D803" s="28"/>
      <c r="E803" s="28"/>
    </row>
    <row r="804">
      <c r="A804" s="28"/>
      <c r="B804" s="28"/>
      <c r="C804" s="28"/>
      <c r="D804" s="28"/>
      <c r="E804" s="28"/>
    </row>
    <row r="805">
      <c r="A805" s="28"/>
      <c r="B805" s="28"/>
      <c r="C805" s="28"/>
      <c r="D805" s="28"/>
      <c r="E805" s="28"/>
    </row>
    <row r="806">
      <c r="A806" s="28"/>
      <c r="B806" s="28"/>
      <c r="C806" s="28"/>
      <c r="D806" s="28"/>
      <c r="E806" s="28"/>
    </row>
    <row r="807">
      <c r="A807" s="28"/>
      <c r="B807" s="28"/>
      <c r="C807" s="28"/>
      <c r="D807" s="28"/>
      <c r="E807" s="28"/>
    </row>
    <row r="808">
      <c r="A808" s="28"/>
      <c r="B808" s="28"/>
      <c r="C808" s="28"/>
      <c r="D808" s="28"/>
      <c r="E808" s="28"/>
    </row>
    <row r="809">
      <c r="A809" s="28"/>
      <c r="B809" s="28"/>
      <c r="C809" s="28"/>
      <c r="D809" s="28"/>
      <c r="E809" s="28"/>
    </row>
    <row r="810">
      <c r="A810" s="28"/>
      <c r="B810" s="28"/>
      <c r="C810" s="28"/>
      <c r="D810" s="28"/>
      <c r="E810" s="28"/>
    </row>
    <row r="811">
      <c r="A811" s="28"/>
      <c r="B811" s="28"/>
      <c r="C811" s="28"/>
      <c r="D811" s="28"/>
      <c r="E811" s="28"/>
    </row>
    <row r="812">
      <c r="A812" s="28"/>
      <c r="B812" s="28"/>
      <c r="C812" s="28"/>
      <c r="D812" s="28"/>
      <c r="E812" s="28"/>
    </row>
    <row r="813">
      <c r="A813" s="28"/>
      <c r="B813" s="28"/>
      <c r="C813" s="28"/>
      <c r="D813" s="28"/>
      <c r="E813" s="28"/>
    </row>
    <row r="814">
      <c r="A814" s="28"/>
      <c r="B814" s="28"/>
      <c r="C814" s="28"/>
      <c r="D814" s="28"/>
      <c r="E814" s="28"/>
    </row>
    <row r="815">
      <c r="A815" s="28"/>
      <c r="B815" s="28"/>
      <c r="C815" s="28"/>
      <c r="D815" s="28"/>
      <c r="E815" s="28"/>
    </row>
    <row r="816">
      <c r="A816" s="28"/>
      <c r="B816" s="28"/>
      <c r="C816" s="28"/>
      <c r="D816" s="28"/>
      <c r="E816" s="28"/>
    </row>
    <row r="817">
      <c r="A817" s="28"/>
      <c r="B817" s="28"/>
      <c r="C817" s="28"/>
      <c r="D817" s="28"/>
      <c r="E817" s="28"/>
    </row>
    <row r="818">
      <c r="A818" s="28"/>
      <c r="B818" s="28"/>
      <c r="C818" s="28"/>
      <c r="D818" s="28"/>
      <c r="E818" s="28"/>
    </row>
    <row r="819">
      <c r="A819" s="28"/>
      <c r="B819" s="28"/>
      <c r="C819" s="28"/>
      <c r="D819" s="28"/>
      <c r="E819" s="28"/>
    </row>
    <row r="820">
      <c r="A820" s="28"/>
      <c r="B820" s="28"/>
      <c r="C820" s="28"/>
      <c r="D820" s="28"/>
      <c r="E820" s="28"/>
    </row>
    <row r="821">
      <c r="A821" s="28"/>
      <c r="B821" s="28"/>
      <c r="C821" s="28"/>
      <c r="D821" s="28"/>
      <c r="E821" s="28"/>
    </row>
    <row r="822">
      <c r="A822" s="28"/>
      <c r="B822" s="28"/>
      <c r="C822" s="28"/>
      <c r="D822" s="28"/>
      <c r="E822" s="28"/>
    </row>
    <row r="823">
      <c r="A823" s="28"/>
      <c r="B823" s="28"/>
      <c r="C823" s="28"/>
      <c r="D823" s="28"/>
      <c r="E823" s="28"/>
    </row>
    <row r="824">
      <c r="A824" s="28"/>
      <c r="B824" s="28"/>
      <c r="C824" s="28"/>
      <c r="D824" s="28"/>
      <c r="E824" s="28"/>
    </row>
    <row r="825">
      <c r="A825" s="28"/>
      <c r="B825" s="28"/>
      <c r="C825" s="28"/>
      <c r="D825" s="28"/>
      <c r="E825" s="28"/>
    </row>
    <row r="826">
      <c r="A826" s="28"/>
      <c r="B826" s="28"/>
      <c r="C826" s="28"/>
      <c r="D826" s="28"/>
      <c r="E826" s="28"/>
    </row>
    <row r="827">
      <c r="A827" s="28"/>
      <c r="B827" s="28"/>
      <c r="C827" s="28"/>
      <c r="D827" s="28"/>
      <c r="E827" s="28"/>
    </row>
    <row r="828">
      <c r="A828" s="28"/>
      <c r="B828" s="28"/>
      <c r="C828" s="28"/>
      <c r="D828" s="28"/>
      <c r="E828" s="28"/>
    </row>
    <row r="829">
      <c r="A829" s="28"/>
      <c r="B829" s="28"/>
      <c r="C829" s="28"/>
      <c r="D829" s="28"/>
      <c r="E829" s="28"/>
    </row>
    <row r="830">
      <c r="A830" s="28"/>
      <c r="B830" s="28"/>
      <c r="C830" s="28"/>
      <c r="D830" s="28"/>
      <c r="E830" s="28"/>
    </row>
    <row r="831">
      <c r="A831" s="28"/>
      <c r="B831" s="28"/>
      <c r="C831" s="28"/>
      <c r="D831" s="28"/>
      <c r="E831" s="28"/>
    </row>
    <row r="832">
      <c r="A832" s="28"/>
      <c r="B832" s="28"/>
      <c r="C832" s="28"/>
      <c r="D832" s="28"/>
      <c r="E832" s="28"/>
    </row>
    <row r="833">
      <c r="A833" s="28"/>
      <c r="B833" s="28"/>
      <c r="C833" s="28"/>
      <c r="D833" s="28"/>
      <c r="E833" s="28"/>
    </row>
    <row r="834">
      <c r="A834" s="28"/>
      <c r="B834" s="28"/>
      <c r="C834" s="28"/>
      <c r="D834" s="28"/>
      <c r="E834" s="28"/>
    </row>
    <row r="835">
      <c r="A835" s="28"/>
      <c r="B835" s="28"/>
      <c r="C835" s="28"/>
      <c r="D835" s="28"/>
      <c r="E835" s="28"/>
    </row>
    <row r="836">
      <c r="A836" s="28"/>
      <c r="B836" s="28"/>
      <c r="C836" s="28"/>
      <c r="D836" s="28"/>
      <c r="E836" s="28"/>
    </row>
    <row r="837">
      <c r="A837" s="28"/>
      <c r="B837" s="28"/>
      <c r="C837" s="28"/>
      <c r="D837" s="28"/>
      <c r="E837" s="28"/>
    </row>
    <row r="838">
      <c r="A838" s="28"/>
      <c r="B838" s="28"/>
      <c r="C838" s="28"/>
      <c r="D838" s="28"/>
      <c r="E838" s="28"/>
    </row>
    <row r="839">
      <c r="A839" s="28"/>
      <c r="B839" s="28"/>
      <c r="C839" s="28"/>
      <c r="D839" s="28"/>
      <c r="E839" s="28"/>
    </row>
    <row r="840">
      <c r="A840" s="28"/>
      <c r="B840" s="28"/>
      <c r="C840" s="28"/>
      <c r="D840" s="28"/>
      <c r="E840" s="28"/>
    </row>
    <row r="841">
      <c r="A841" s="28"/>
      <c r="B841" s="28"/>
      <c r="C841" s="28"/>
      <c r="D841" s="28"/>
      <c r="E841" s="28"/>
    </row>
    <row r="842">
      <c r="A842" s="28"/>
      <c r="B842" s="28"/>
      <c r="C842" s="28"/>
      <c r="D842" s="28"/>
      <c r="E842" s="28"/>
    </row>
    <row r="843">
      <c r="A843" s="28"/>
      <c r="B843" s="28"/>
      <c r="C843" s="28"/>
      <c r="D843" s="28"/>
      <c r="E843" s="28"/>
    </row>
    <row r="844">
      <c r="A844" s="28"/>
      <c r="B844" s="28"/>
      <c r="C844" s="28"/>
      <c r="D844" s="28"/>
      <c r="E844" s="28"/>
    </row>
    <row r="845">
      <c r="A845" s="28"/>
      <c r="B845" s="28"/>
      <c r="C845" s="28"/>
      <c r="D845" s="28"/>
      <c r="E845" s="28"/>
    </row>
    <row r="846">
      <c r="A846" s="28"/>
      <c r="B846" s="28"/>
      <c r="C846" s="28"/>
      <c r="D846" s="28"/>
      <c r="E846" s="28"/>
    </row>
    <row r="847">
      <c r="A847" s="28"/>
      <c r="B847" s="28"/>
      <c r="C847" s="28"/>
      <c r="D847" s="28"/>
      <c r="E847" s="28"/>
    </row>
    <row r="848">
      <c r="A848" s="28"/>
      <c r="B848" s="28"/>
      <c r="C848" s="28"/>
      <c r="D848" s="28"/>
      <c r="E848" s="28"/>
    </row>
    <row r="849">
      <c r="A849" s="28"/>
      <c r="B849" s="28"/>
      <c r="C849" s="28"/>
      <c r="D849" s="28"/>
      <c r="E849" s="28"/>
    </row>
    <row r="850">
      <c r="A850" s="28"/>
      <c r="B850" s="28"/>
      <c r="C850" s="28"/>
      <c r="D850" s="28"/>
      <c r="E850" s="28"/>
    </row>
    <row r="851">
      <c r="A851" s="28"/>
      <c r="B851" s="28"/>
      <c r="C851" s="28"/>
      <c r="D851" s="28"/>
      <c r="E851" s="28"/>
    </row>
    <row r="852">
      <c r="A852" s="28"/>
      <c r="B852" s="28"/>
      <c r="C852" s="28"/>
      <c r="D852" s="28"/>
      <c r="E852" s="28"/>
    </row>
    <row r="853">
      <c r="A853" s="28"/>
      <c r="B853" s="28"/>
      <c r="C853" s="28"/>
      <c r="D853" s="28"/>
      <c r="E853" s="28"/>
    </row>
    <row r="854">
      <c r="A854" s="28"/>
      <c r="B854" s="28"/>
      <c r="C854" s="28"/>
      <c r="D854" s="28"/>
      <c r="E854" s="28"/>
    </row>
    <row r="855">
      <c r="A855" s="28"/>
      <c r="B855" s="28"/>
      <c r="C855" s="28"/>
      <c r="D855" s="28"/>
      <c r="E855" s="28"/>
    </row>
    <row r="856">
      <c r="A856" s="28"/>
      <c r="B856" s="28"/>
      <c r="C856" s="28"/>
      <c r="D856" s="28"/>
      <c r="E856" s="28"/>
    </row>
    <row r="857">
      <c r="A857" s="28"/>
      <c r="B857" s="28"/>
      <c r="C857" s="28"/>
      <c r="D857" s="28"/>
      <c r="E857" s="28"/>
    </row>
    <row r="858">
      <c r="A858" s="28"/>
      <c r="B858" s="28"/>
      <c r="C858" s="28"/>
      <c r="D858" s="28"/>
      <c r="E858" s="28"/>
    </row>
    <row r="859">
      <c r="A859" s="28"/>
      <c r="B859" s="28"/>
      <c r="C859" s="28"/>
      <c r="D859" s="28"/>
      <c r="E859" s="28"/>
    </row>
    <row r="860">
      <c r="A860" s="28"/>
      <c r="B860" s="28"/>
      <c r="C860" s="28"/>
      <c r="D860" s="28"/>
      <c r="E860" s="28"/>
    </row>
    <row r="861">
      <c r="A861" s="28"/>
      <c r="B861" s="28"/>
      <c r="C861" s="28"/>
      <c r="D861" s="28"/>
      <c r="E861" s="28"/>
    </row>
    <row r="862">
      <c r="A862" s="28"/>
      <c r="B862" s="28"/>
      <c r="C862" s="28"/>
      <c r="D862" s="28"/>
      <c r="E862" s="28"/>
    </row>
    <row r="863">
      <c r="A863" s="28"/>
      <c r="B863" s="28"/>
      <c r="C863" s="28"/>
      <c r="D863" s="28"/>
      <c r="E863" s="28"/>
    </row>
    <row r="864">
      <c r="A864" s="28"/>
      <c r="B864" s="28"/>
      <c r="C864" s="28"/>
      <c r="D864" s="28"/>
      <c r="E864" s="28"/>
    </row>
    <row r="865">
      <c r="A865" s="28"/>
      <c r="B865" s="28"/>
      <c r="C865" s="28"/>
      <c r="D865" s="28"/>
      <c r="E865" s="28"/>
    </row>
    <row r="866">
      <c r="A866" s="28"/>
      <c r="B866" s="28"/>
      <c r="C866" s="28"/>
      <c r="D866" s="28"/>
      <c r="E866" s="28"/>
    </row>
    <row r="867">
      <c r="A867" s="28"/>
      <c r="B867" s="28"/>
      <c r="C867" s="28"/>
      <c r="D867" s="28"/>
      <c r="E867" s="28"/>
    </row>
    <row r="868">
      <c r="A868" s="28"/>
      <c r="B868" s="28"/>
      <c r="C868" s="28"/>
      <c r="D868" s="28"/>
      <c r="E868" s="28"/>
    </row>
    <row r="869">
      <c r="A869" s="28"/>
      <c r="B869" s="28"/>
      <c r="C869" s="28"/>
      <c r="D869" s="28"/>
      <c r="E869" s="28"/>
    </row>
    <row r="870">
      <c r="A870" s="28"/>
      <c r="B870" s="28"/>
      <c r="C870" s="28"/>
      <c r="D870" s="28"/>
      <c r="E870" s="28"/>
    </row>
    <row r="871">
      <c r="A871" s="28"/>
      <c r="B871" s="28"/>
      <c r="C871" s="28"/>
      <c r="D871" s="28"/>
      <c r="E871" s="28"/>
    </row>
    <row r="872">
      <c r="A872" s="28"/>
      <c r="B872" s="28"/>
      <c r="C872" s="28"/>
      <c r="D872" s="28"/>
      <c r="E872" s="28"/>
    </row>
    <row r="873">
      <c r="A873" s="28"/>
      <c r="B873" s="28"/>
      <c r="C873" s="28"/>
      <c r="D873" s="28"/>
      <c r="E873" s="28"/>
    </row>
    <row r="874">
      <c r="A874" s="28"/>
      <c r="B874" s="28"/>
      <c r="C874" s="28"/>
      <c r="D874" s="28"/>
      <c r="E874" s="28"/>
    </row>
    <row r="875">
      <c r="A875" s="28"/>
      <c r="B875" s="28"/>
      <c r="C875" s="28"/>
      <c r="D875" s="28"/>
      <c r="E875" s="28"/>
    </row>
    <row r="876">
      <c r="A876" s="28"/>
      <c r="B876" s="28"/>
      <c r="C876" s="28"/>
      <c r="D876" s="28"/>
      <c r="E876" s="28"/>
    </row>
    <row r="877">
      <c r="A877" s="28"/>
      <c r="B877" s="28"/>
      <c r="C877" s="28"/>
      <c r="D877" s="28"/>
      <c r="E877" s="28"/>
    </row>
    <row r="878">
      <c r="A878" s="28"/>
      <c r="B878" s="28"/>
      <c r="C878" s="28"/>
      <c r="D878" s="28"/>
      <c r="E878" s="28"/>
    </row>
    <row r="879">
      <c r="A879" s="28"/>
      <c r="B879" s="28"/>
      <c r="C879" s="28"/>
      <c r="D879" s="28"/>
      <c r="E879" s="28"/>
    </row>
    <row r="880">
      <c r="A880" s="28"/>
      <c r="B880" s="28"/>
      <c r="C880" s="28"/>
      <c r="D880" s="28"/>
      <c r="E880" s="28"/>
    </row>
    <row r="881">
      <c r="A881" s="28"/>
      <c r="B881" s="28"/>
      <c r="C881" s="28"/>
      <c r="D881" s="28"/>
      <c r="E881" s="28"/>
    </row>
    <row r="882">
      <c r="A882" s="28"/>
      <c r="B882" s="28"/>
      <c r="C882" s="28"/>
      <c r="D882" s="28"/>
      <c r="E882" s="28"/>
    </row>
    <row r="883">
      <c r="A883" s="28"/>
      <c r="B883" s="28"/>
      <c r="C883" s="28"/>
      <c r="D883" s="28"/>
      <c r="E883" s="28"/>
    </row>
    <row r="884">
      <c r="A884" s="28"/>
      <c r="B884" s="28"/>
      <c r="C884" s="28"/>
      <c r="D884" s="28"/>
      <c r="E884" s="28"/>
    </row>
    <row r="885">
      <c r="A885" s="28"/>
      <c r="B885" s="28"/>
      <c r="C885" s="28"/>
      <c r="D885" s="28"/>
      <c r="E885" s="28"/>
    </row>
    <row r="886">
      <c r="A886" s="28"/>
      <c r="B886" s="28"/>
      <c r="C886" s="28"/>
      <c r="D886" s="28"/>
      <c r="E886" s="28"/>
    </row>
    <row r="887">
      <c r="A887" s="28"/>
      <c r="B887" s="28"/>
      <c r="C887" s="28"/>
      <c r="D887" s="28"/>
      <c r="E887" s="28"/>
    </row>
    <row r="888">
      <c r="A888" s="28"/>
      <c r="B888" s="28"/>
      <c r="C888" s="28"/>
      <c r="D888" s="28"/>
      <c r="E888" s="28"/>
    </row>
    <row r="889">
      <c r="A889" s="28"/>
      <c r="B889" s="28"/>
      <c r="C889" s="28"/>
      <c r="D889" s="28"/>
      <c r="E889" s="28"/>
    </row>
    <row r="890">
      <c r="A890" s="28"/>
      <c r="B890" s="28"/>
      <c r="C890" s="28"/>
      <c r="D890" s="28"/>
      <c r="E890" s="28"/>
    </row>
    <row r="891">
      <c r="A891" s="28"/>
      <c r="B891" s="28"/>
      <c r="C891" s="28"/>
      <c r="D891" s="28"/>
      <c r="E891" s="28"/>
    </row>
    <row r="892">
      <c r="A892" s="28"/>
      <c r="B892" s="28"/>
      <c r="C892" s="28"/>
      <c r="D892" s="28"/>
      <c r="E892" s="28"/>
    </row>
    <row r="893">
      <c r="A893" s="28"/>
      <c r="B893" s="28"/>
      <c r="C893" s="28"/>
      <c r="D893" s="28"/>
      <c r="E893" s="28"/>
    </row>
    <row r="894">
      <c r="A894" s="28"/>
      <c r="B894" s="28"/>
      <c r="C894" s="28"/>
      <c r="D894" s="28"/>
      <c r="E894" s="28"/>
    </row>
    <row r="895">
      <c r="A895" s="28"/>
      <c r="B895" s="28"/>
      <c r="C895" s="28"/>
      <c r="D895" s="28"/>
      <c r="E895" s="28"/>
    </row>
    <row r="896">
      <c r="A896" s="28"/>
      <c r="B896" s="28"/>
      <c r="C896" s="28"/>
      <c r="D896" s="28"/>
      <c r="E896" s="28"/>
    </row>
    <row r="897">
      <c r="A897" s="28"/>
      <c r="B897" s="28"/>
      <c r="C897" s="28"/>
      <c r="D897" s="28"/>
      <c r="E897" s="28"/>
    </row>
    <row r="898">
      <c r="A898" s="28"/>
      <c r="B898" s="28"/>
      <c r="C898" s="28"/>
      <c r="D898" s="28"/>
      <c r="E898" s="28"/>
    </row>
    <row r="899">
      <c r="A899" s="28"/>
      <c r="B899" s="28"/>
      <c r="C899" s="28"/>
      <c r="D899" s="28"/>
      <c r="E899" s="28"/>
    </row>
    <row r="900">
      <c r="A900" s="28"/>
      <c r="B900" s="28"/>
      <c r="C900" s="28"/>
      <c r="D900" s="28"/>
      <c r="E900" s="28"/>
    </row>
    <row r="901">
      <c r="A901" s="28"/>
      <c r="B901" s="28"/>
      <c r="C901" s="28"/>
      <c r="D901" s="28"/>
      <c r="E901" s="28"/>
    </row>
    <row r="902">
      <c r="A902" s="28"/>
      <c r="B902" s="28"/>
      <c r="C902" s="28"/>
      <c r="D902" s="28"/>
      <c r="E902" s="28"/>
    </row>
    <row r="903">
      <c r="A903" s="28"/>
      <c r="B903" s="28"/>
      <c r="C903" s="28"/>
      <c r="D903" s="28"/>
      <c r="E903" s="28"/>
    </row>
    <row r="904">
      <c r="A904" s="28"/>
      <c r="B904" s="28"/>
      <c r="C904" s="28"/>
      <c r="D904" s="28"/>
      <c r="E904" s="28"/>
    </row>
    <row r="905">
      <c r="A905" s="28"/>
      <c r="B905" s="28"/>
      <c r="C905" s="28"/>
      <c r="D905" s="28"/>
      <c r="E905" s="28"/>
    </row>
    <row r="906">
      <c r="A906" s="28"/>
      <c r="B906" s="28"/>
      <c r="C906" s="28"/>
      <c r="D906" s="28"/>
      <c r="E906" s="28"/>
    </row>
    <row r="907">
      <c r="A907" s="28"/>
      <c r="B907" s="28"/>
      <c r="C907" s="28"/>
      <c r="D907" s="28"/>
      <c r="E907" s="28"/>
    </row>
    <row r="908">
      <c r="A908" s="28"/>
      <c r="B908" s="28"/>
      <c r="C908" s="28"/>
      <c r="D908" s="28"/>
      <c r="E908" s="28"/>
    </row>
    <row r="909">
      <c r="A909" s="28"/>
      <c r="B909" s="28"/>
      <c r="C909" s="28"/>
      <c r="D909" s="28"/>
      <c r="E909" s="28"/>
    </row>
    <row r="910">
      <c r="A910" s="28"/>
      <c r="B910" s="28"/>
      <c r="C910" s="28"/>
      <c r="D910" s="28"/>
      <c r="E910" s="28"/>
    </row>
    <row r="911">
      <c r="A911" s="28"/>
      <c r="B911" s="28"/>
      <c r="C911" s="28"/>
      <c r="D911" s="28"/>
      <c r="E911" s="28"/>
    </row>
    <row r="912">
      <c r="A912" s="28"/>
      <c r="B912" s="28"/>
      <c r="C912" s="28"/>
      <c r="D912" s="28"/>
      <c r="E912" s="28"/>
    </row>
    <row r="913">
      <c r="A913" s="28"/>
      <c r="B913" s="28"/>
      <c r="C913" s="28"/>
      <c r="D913" s="28"/>
      <c r="E913" s="28"/>
    </row>
    <row r="914">
      <c r="A914" s="28"/>
      <c r="B914" s="28"/>
      <c r="C914" s="28"/>
      <c r="D914" s="28"/>
      <c r="E914" s="28"/>
    </row>
    <row r="915">
      <c r="A915" s="28"/>
      <c r="B915" s="28"/>
      <c r="C915" s="28"/>
      <c r="D915" s="28"/>
      <c r="E915" s="28"/>
    </row>
    <row r="916">
      <c r="A916" s="28"/>
      <c r="B916" s="28"/>
      <c r="C916" s="28"/>
      <c r="D916" s="28"/>
      <c r="E916" s="28"/>
    </row>
    <row r="917">
      <c r="A917" s="28"/>
      <c r="B917" s="28"/>
      <c r="C917" s="28"/>
      <c r="D917" s="28"/>
      <c r="E917" s="28"/>
    </row>
    <row r="918">
      <c r="A918" s="28"/>
      <c r="B918" s="28"/>
      <c r="C918" s="28"/>
      <c r="D918" s="28"/>
      <c r="E918" s="28"/>
    </row>
    <row r="919">
      <c r="A919" s="28"/>
      <c r="B919" s="28"/>
      <c r="C919" s="28"/>
      <c r="D919" s="28"/>
      <c r="E919" s="28"/>
    </row>
    <row r="920">
      <c r="A920" s="28"/>
      <c r="B920" s="28"/>
      <c r="C920" s="28"/>
      <c r="D920" s="28"/>
      <c r="E920" s="28"/>
    </row>
    <row r="921">
      <c r="A921" s="28"/>
      <c r="B921" s="28"/>
      <c r="C921" s="28"/>
      <c r="D921" s="28"/>
      <c r="E921" s="28"/>
    </row>
    <row r="922">
      <c r="A922" s="28"/>
      <c r="B922" s="28"/>
      <c r="C922" s="28"/>
      <c r="D922" s="28"/>
      <c r="E922" s="28"/>
    </row>
    <row r="923">
      <c r="A923" s="28"/>
      <c r="B923" s="28"/>
      <c r="C923" s="28"/>
      <c r="D923" s="28"/>
      <c r="E923" s="28"/>
    </row>
    <row r="924">
      <c r="A924" s="28"/>
      <c r="B924" s="28"/>
      <c r="C924" s="28"/>
      <c r="D924" s="28"/>
      <c r="E924" s="28"/>
    </row>
    <row r="925">
      <c r="A925" s="28"/>
      <c r="B925" s="28"/>
      <c r="C925" s="28"/>
      <c r="D925" s="28"/>
      <c r="E925" s="28"/>
    </row>
    <row r="926">
      <c r="A926" s="28"/>
      <c r="B926" s="28"/>
      <c r="C926" s="28"/>
      <c r="D926" s="28"/>
      <c r="E926" s="28"/>
    </row>
    <row r="927">
      <c r="A927" s="28"/>
      <c r="B927" s="28"/>
      <c r="C927" s="28"/>
      <c r="D927" s="28"/>
      <c r="E927" s="28"/>
    </row>
    <row r="928">
      <c r="A928" s="28"/>
      <c r="B928" s="28"/>
      <c r="C928" s="28"/>
      <c r="D928" s="28"/>
      <c r="E928" s="28"/>
    </row>
    <row r="929">
      <c r="A929" s="28"/>
      <c r="B929" s="28"/>
      <c r="C929" s="28"/>
      <c r="D929" s="28"/>
      <c r="E929" s="28"/>
    </row>
    <row r="930">
      <c r="A930" s="28"/>
      <c r="B930" s="28"/>
      <c r="C930" s="28"/>
      <c r="D930" s="28"/>
      <c r="E930" s="28"/>
    </row>
    <row r="931">
      <c r="A931" s="28"/>
      <c r="B931" s="28"/>
      <c r="C931" s="28"/>
      <c r="D931" s="28"/>
      <c r="E931" s="28"/>
    </row>
    <row r="932">
      <c r="A932" s="28"/>
      <c r="B932" s="28"/>
      <c r="C932" s="28"/>
      <c r="D932" s="28"/>
      <c r="E932" s="28"/>
    </row>
    <row r="933">
      <c r="A933" s="28"/>
      <c r="B933" s="28"/>
      <c r="C933" s="28"/>
      <c r="D933" s="28"/>
      <c r="E933" s="28"/>
    </row>
    <row r="934">
      <c r="A934" s="28"/>
      <c r="B934" s="28"/>
      <c r="C934" s="28"/>
      <c r="D934" s="28"/>
      <c r="E934" s="28"/>
    </row>
    <row r="935">
      <c r="A935" s="28"/>
      <c r="B935" s="28"/>
      <c r="C935" s="28"/>
      <c r="D935" s="28"/>
      <c r="E935" s="28"/>
    </row>
    <row r="936">
      <c r="A936" s="28"/>
      <c r="B936" s="28"/>
      <c r="C936" s="28"/>
      <c r="D936" s="28"/>
      <c r="E936" s="28"/>
    </row>
    <row r="937">
      <c r="A937" s="28"/>
      <c r="B937" s="28"/>
      <c r="C937" s="28"/>
      <c r="D937" s="28"/>
      <c r="E937" s="28"/>
    </row>
    <row r="938">
      <c r="A938" s="28"/>
      <c r="B938" s="28"/>
      <c r="C938" s="28"/>
      <c r="D938" s="28"/>
      <c r="E938" s="28"/>
    </row>
    <row r="939">
      <c r="A939" s="28"/>
      <c r="B939" s="28"/>
      <c r="C939" s="28"/>
      <c r="D939" s="28"/>
      <c r="E939" s="28"/>
    </row>
    <row r="940">
      <c r="A940" s="28"/>
      <c r="B940" s="28"/>
      <c r="C940" s="28"/>
      <c r="D940" s="28"/>
      <c r="E940" s="28"/>
    </row>
    <row r="941">
      <c r="A941" s="28"/>
      <c r="B941" s="28"/>
      <c r="C941" s="28"/>
      <c r="D941" s="28"/>
      <c r="E941" s="28"/>
    </row>
    <row r="942">
      <c r="A942" s="28"/>
      <c r="B942" s="28"/>
      <c r="C942" s="28"/>
      <c r="D942" s="28"/>
      <c r="E942" s="28"/>
    </row>
    <row r="943">
      <c r="A943" s="28"/>
      <c r="B943" s="28"/>
      <c r="C943" s="28"/>
      <c r="D943" s="28"/>
      <c r="E943" s="28"/>
    </row>
    <row r="944">
      <c r="A944" s="28"/>
      <c r="B944" s="28"/>
      <c r="C944" s="28"/>
      <c r="D944" s="28"/>
      <c r="E944" s="28"/>
    </row>
    <row r="945">
      <c r="A945" s="28"/>
      <c r="B945" s="28"/>
      <c r="C945" s="28"/>
      <c r="D945" s="28"/>
      <c r="E945" s="28"/>
    </row>
    <row r="946">
      <c r="A946" s="28"/>
      <c r="B946" s="28"/>
      <c r="C946" s="28"/>
      <c r="D946" s="28"/>
      <c r="E946" s="28"/>
    </row>
    <row r="947">
      <c r="A947" s="28"/>
      <c r="B947" s="28"/>
      <c r="C947" s="28"/>
      <c r="D947" s="28"/>
      <c r="E947" s="28"/>
    </row>
    <row r="948">
      <c r="A948" s="28"/>
      <c r="B948" s="28"/>
      <c r="C948" s="28"/>
      <c r="D948" s="28"/>
      <c r="E948" s="28"/>
    </row>
    <row r="949">
      <c r="A949" s="28"/>
      <c r="B949" s="28"/>
      <c r="C949" s="28"/>
      <c r="D949" s="28"/>
      <c r="E949" s="28"/>
    </row>
    <row r="950">
      <c r="A950" s="28"/>
      <c r="B950" s="28"/>
      <c r="C950" s="28"/>
      <c r="D950" s="28"/>
      <c r="E950" s="28"/>
    </row>
    <row r="951">
      <c r="A951" s="28"/>
      <c r="B951" s="28"/>
      <c r="C951" s="28"/>
      <c r="D951" s="28"/>
      <c r="E951" s="28"/>
    </row>
    <row r="952">
      <c r="A952" s="28"/>
      <c r="B952" s="28"/>
      <c r="C952" s="28"/>
      <c r="D952" s="28"/>
      <c r="E952" s="28"/>
    </row>
    <row r="953">
      <c r="A953" s="28"/>
      <c r="B953" s="28"/>
      <c r="C953" s="28"/>
      <c r="D953" s="28"/>
      <c r="E953" s="28"/>
    </row>
    <row r="954">
      <c r="A954" s="28"/>
      <c r="B954" s="28"/>
      <c r="C954" s="28"/>
      <c r="D954" s="28"/>
      <c r="E954" s="28"/>
    </row>
    <row r="955">
      <c r="A955" s="28"/>
      <c r="B955" s="28"/>
      <c r="C955" s="28"/>
      <c r="D955" s="28"/>
      <c r="E955" s="28"/>
    </row>
    <row r="956">
      <c r="A956" s="28"/>
      <c r="B956" s="28"/>
      <c r="C956" s="28"/>
      <c r="D956" s="28"/>
      <c r="E956" s="28"/>
    </row>
    <row r="957">
      <c r="A957" s="28"/>
      <c r="B957" s="28"/>
      <c r="C957" s="28"/>
      <c r="D957" s="28"/>
      <c r="E957" s="28"/>
    </row>
    <row r="958">
      <c r="A958" s="28"/>
      <c r="B958" s="28"/>
      <c r="C958" s="28"/>
      <c r="D958" s="28"/>
      <c r="E958" s="28"/>
    </row>
    <row r="959">
      <c r="A959" s="28"/>
      <c r="B959" s="28"/>
      <c r="C959" s="28"/>
      <c r="D959" s="28"/>
      <c r="E959" s="28"/>
    </row>
    <row r="960">
      <c r="A960" s="28"/>
      <c r="B960" s="28"/>
      <c r="C960" s="28"/>
      <c r="D960" s="28"/>
      <c r="E960" s="28"/>
    </row>
    <row r="961">
      <c r="A961" s="28"/>
      <c r="B961" s="28"/>
      <c r="C961" s="28"/>
      <c r="D961" s="28"/>
      <c r="E961" s="28"/>
    </row>
    <row r="962">
      <c r="A962" s="28"/>
      <c r="B962" s="28"/>
      <c r="C962" s="28"/>
      <c r="D962" s="28"/>
      <c r="E962" s="28"/>
    </row>
    <row r="963">
      <c r="A963" s="28"/>
      <c r="B963" s="28"/>
      <c r="C963" s="28"/>
      <c r="D963" s="28"/>
      <c r="E963" s="28"/>
    </row>
    <row r="964">
      <c r="A964" s="28"/>
      <c r="B964" s="28"/>
      <c r="C964" s="28"/>
      <c r="D964" s="28"/>
      <c r="E964" s="28"/>
    </row>
    <row r="965">
      <c r="A965" s="28"/>
      <c r="B965" s="28"/>
      <c r="C965" s="28"/>
      <c r="D965" s="28"/>
      <c r="E965" s="28"/>
    </row>
    <row r="966">
      <c r="A966" s="28"/>
      <c r="B966" s="28"/>
      <c r="C966" s="28"/>
      <c r="D966" s="28"/>
      <c r="E966" s="28"/>
    </row>
    <row r="967">
      <c r="A967" s="28"/>
      <c r="B967" s="28"/>
      <c r="C967" s="28"/>
      <c r="D967" s="28"/>
      <c r="E967" s="28"/>
    </row>
    <row r="968">
      <c r="A968" s="28"/>
      <c r="B968" s="28"/>
      <c r="C968" s="28"/>
      <c r="D968" s="28"/>
      <c r="E968" s="28"/>
    </row>
    <row r="969">
      <c r="A969" s="28"/>
      <c r="B969" s="28"/>
      <c r="C969" s="28"/>
      <c r="D969" s="28"/>
      <c r="E969" s="28"/>
    </row>
    <row r="970">
      <c r="A970" s="28"/>
      <c r="B970" s="28"/>
      <c r="C970" s="28"/>
      <c r="D970" s="28"/>
      <c r="E970" s="28"/>
    </row>
    <row r="971">
      <c r="A971" s="28"/>
      <c r="B971" s="28"/>
      <c r="C971" s="28"/>
      <c r="D971" s="28"/>
      <c r="E971" s="28"/>
    </row>
    <row r="972">
      <c r="A972" s="28"/>
      <c r="B972" s="28"/>
      <c r="C972" s="28"/>
      <c r="D972" s="28"/>
      <c r="E972" s="28"/>
    </row>
    <row r="973">
      <c r="A973" s="28"/>
      <c r="B973" s="28"/>
      <c r="C973" s="28"/>
      <c r="D973" s="28"/>
      <c r="E973" s="28"/>
    </row>
    <row r="974">
      <c r="A974" s="28"/>
      <c r="B974" s="28"/>
      <c r="C974" s="28"/>
      <c r="D974" s="28"/>
      <c r="E974" s="28"/>
    </row>
    <row r="975">
      <c r="A975" s="28"/>
      <c r="B975" s="28"/>
      <c r="C975" s="28"/>
      <c r="D975" s="28"/>
      <c r="E975" s="28"/>
    </row>
    <row r="976">
      <c r="A976" s="28"/>
      <c r="B976" s="28"/>
      <c r="C976" s="28"/>
      <c r="D976" s="28"/>
      <c r="E976" s="28"/>
    </row>
    <row r="977">
      <c r="A977" s="28"/>
      <c r="B977" s="28"/>
      <c r="C977" s="28"/>
      <c r="D977" s="28"/>
      <c r="E977" s="28"/>
    </row>
    <row r="978">
      <c r="A978" s="28"/>
      <c r="B978" s="28"/>
      <c r="C978" s="28"/>
      <c r="D978" s="28"/>
      <c r="E978" s="28"/>
    </row>
    <row r="979">
      <c r="A979" s="28"/>
      <c r="B979" s="28"/>
      <c r="C979" s="28"/>
      <c r="D979" s="28"/>
      <c r="E979" s="28"/>
    </row>
    <row r="980">
      <c r="A980" s="28"/>
      <c r="B980" s="28"/>
      <c r="C980" s="28"/>
      <c r="D980" s="28"/>
      <c r="E980" s="28"/>
    </row>
    <row r="981">
      <c r="A981" s="28"/>
      <c r="B981" s="28"/>
      <c r="C981" s="28"/>
      <c r="D981" s="28"/>
      <c r="E981" s="28"/>
    </row>
    <row r="982">
      <c r="A982" s="28"/>
      <c r="B982" s="28"/>
      <c r="C982" s="28"/>
      <c r="D982" s="28"/>
      <c r="E982" s="28"/>
    </row>
    <row r="983">
      <c r="A983" s="28"/>
      <c r="B983" s="28"/>
      <c r="C983" s="28"/>
      <c r="D983" s="28"/>
      <c r="E983" s="28"/>
    </row>
    <row r="984">
      <c r="A984" s="28"/>
      <c r="B984" s="28"/>
      <c r="C984" s="28"/>
      <c r="D984" s="28"/>
      <c r="E984" s="28"/>
    </row>
    <row r="985">
      <c r="A985" s="28"/>
      <c r="B985" s="28"/>
      <c r="C985" s="28"/>
      <c r="D985" s="28"/>
      <c r="E985" s="28"/>
    </row>
    <row r="986">
      <c r="A986" s="28"/>
      <c r="B986" s="28"/>
      <c r="C986" s="28"/>
      <c r="D986" s="28"/>
      <c r="E986" s="28"/>
    </row>
    <row r="987">
      <c r="A987" s="28"/>
      <c r="B987" s="28"/>
      <c r="C987" s="28"/>
      <c r="D987" s="28"/>
      <c r="E987" s="28"/>
    </row>
    <row r="988">
      <c r="A988" s="28"/>
      <c r="B988" s="28"/>
      <c r="C988" s="28"/>
      <c r="D988" s="28"/>
      <c r="E988" s="28"/>
    </row>
    <row r="989">
      <c r="A989" s="28"/>
      <c r="B989" s="28"/>
      <c r="C989" s="28"/>
      <c r="D989" s="28"/>
      <c r="E989" s="28"/>
    </row>
    <row r="990">
      <c r="A990" s="28"/>
      <c r="B990" s="28"/>
      <c r="C990" s="28"/>
      <c r="D990" s="28"/>
      <c r="E990" s="28"/>
    </row>
    <row r="991">
      <c r="A991" s="28"/>
      <c r="B991" s="28"/>
      <c r="C991" s="28"/>
      <c r="D991" s="28"/>
      <c r="E991" s="28"/>
    </row>
    <row r="992">
      <c r="A992" s="28"/>
      <c r="B992" s="28"/>
      <c r="C992" s="28"/>
      <c r="D992" s="28"/>
      <c r="E992" s="28"/>
    </row>
    <row r="993">
      <c r="A993" s="28"/>
      <c r="B993" s="28"/>
      <c r="C993" s="28"/>
      <c r="D993" s="28"/>
      <c r="E993" s="28"/>
    </row>
    <row r="994">
      <c r="A994" s="28"/>
      <c r="B994" s="28"/>
      <c r="C994" s="28"/>
      <c r="D994" s="28"/>
      <c r="E994" s="28"/>
    </row>
    <row r="995">
      <c r="A995" s="28"/>
      <c r="B995" s="28"/>
      <c r="C995" s="28"/>
      <c r="D995" s="28"/>
      <c r="E995" s="28"/>
    </row>
    <row r="996">
      <c r="A996" s="28"/>
      <c r="B996" s="28"/>
      <c r="C996" s="28"/>
      <c r="D996" s="28"/>
      <c r="E996" s="28"/>
    </row>
    <row r="997">
      <c r="A997" s="28"/>
      <c r="B997" s="28"/>
      <c r="C997" s="28"/>
      <c r="D997" s="28"/>
      <c r="E997" s="28"/>
    </row>
    <row r="998">
      <c r="A998" s="28"/>
      <c r="B998" s="28"/>
      <c r="C998" s="28"/>
      <c r="D998" s="28"/>
      <c r="E998" s="28"/>
    </row>
    <row r="999">
      <c r="A999" s="28"/>
      <c r="B999" s="28"/>
      <c r="C999" s="28"/>
      <c r="D999" s="28"/>
      <c r="E999" s="28"/>
    </row>
    <row r="1000">
      <c r="A1000" s="28"/>
      <c r="B1000" s="28"/>
      <c r="C1000" s="28"/>
      <c r="D1000" s="28"/>
      <c r="E1000" s="2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</cols>
  <sheetData>
    <row r="1">
      <c r="A1" s="37" t="s">
        <v>398</v>
      </c>
    </row>
    <row r="2">
      <c r="A2" s="38" t="s">
        <v>294</v>
      </c>
    </row>
    <row r="3">
      <c r="A3" s="38" t="s">
        <v>401</v>
      </c>
    </row>
    <row r="4">
      <c r="A4" s="38" t="s">
        <v>81</v>
      </c>
    </row>
    <row r="5">
      <c r="A5" s="38" t="s">
        <v>402</v>
      </c>
    </row>
    <row r="6">
      <c r="A6" s="39" t="s">
        <v>403</v>
      </c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2.0"/>
  </cols>
  <sheetData>
    <row r="1">
      <c r="A1" s="40" t="s">
        <v>2</v>
      </c>
      <c r="B1" s="40" t="s">
        <v>433</v>
      </c>
      <c r="C1" s="40" t="s">
        <v>26</v>
      </c>
      <c r="D1" s="40" t="s">
        <v>434</v>
      </c>
      <c r="E1" s="40" t="s">
        <v>46</v>
      </c>
    </row>
    <row r="2">
      <c r="A2" s="28"/>
      <c r="B2" s="28"/>
      <c r="C2" s="28"/>
      <c r="D2" s="28"/>
      <c r="E2" s="28"/>
    </row>
    <row r="3">
      <c r="A3" s="28"/>
      <c r="B3" s="28"/>
      <c r="C3" s="28"/>
      <c r="D3" s="28"/>
      <c r="E3" s="28"/>
    </row>
    <row r="4">
      <c r="A4" s="28"/>
      <c r="B4" s="28"/>
      <c r="C4" s="28"/>
      <c r="D4" s="28"/>
      <c r="E4" s="28"/>
    </row>
    <row r="5">
      <c r="A5" s="28"/>
      <c r="B5" s="28"/>
      <c r="C5" s="28"/>
      <c r="D5" s="28"/>
      <c r="E5" s="28"/>
    </row>
    <row r="6">
      <c r="A6" s="28"/>
      <c r="B6" s="28"/>
      <c r="C6" s="28"/>
      <c r="D6" s="28"/>
      <c r="E6" s="28"/>
    </row>
    <row r="7">
      <c r="A7" s="28"/>
      <c r="B7" s="28"/>
      <c r="C7" s="28"/>
      <c r="D7" s="28"/>
      <c r="E7" s="28"/>
    </row>
    <row r="8">
      <c r="A8" s="28"/>
      <c r="B8" s="28"/>
      <c r="C8" s="28"/>
      <c r="D8" s="28"/>
      <c r="E8" s="28"/>
    </row>
    <row r="9">
      <c r="A9" s="28"/>
      <c r="B9" s="28"/>
      <c r="C9" s="28"/>
      <c r="D9" s="28"/>
      <c r="E9" s="28"/>
    </row>
    <row r="10">
      <c r="A10" s="28"/>
      <c r="B10" s="28"/>
      <c r="C10" s="28"/>
      <c r="D10" s="28"/>
      <c r="E10" s="28"/>
    </row>
    <row r="11">
      <c r="A11" s="28"/>
      <c r="B11" s="28"/>
      <c r="C11" s="28"/>
      <c r="D11" s="28"/>
      <c r="E11" s="28"/>
    </row>
    <row r="12">
      <c r="A12" s="28"/>
      <c r="B12" s="28"/>
      <c r="C12" s="28"/>
      <c r="D12" s="28"/>
      <c r="E12" s="28"/>
    </row>
    <row r="13">
      <c r="A13" s="28"/>
      <c r="B13" s="28"/>
      <c r="C13" s="28"/>
      <c r="D13" s="28"/>
      <c r="E13" s="28"/>
    </row>
    <row r="14">
      <c r="A14" s="28"/>
      <c r="B14" s="28"/>
      <c r="C14" s="28"/>
      <c r="D14" s="28"/>
      <c r="E14" s="28"/>
    </row>
    <row r="15">
      <c r="A15" s="28"/>
      <c r="B15" s="28"/>
      <c r="C15" s="28"/>
      <c r="D15" s="28"/>
      <c r="E15" s="28"/>
    </row>
    <row r="16">
      <c r="A16" s="28"/>
      <c r="B16" s="28"/>
      <c r="C16" s="28"/>
      <c r="D16" s="28"/>
      <c r="E16" s="28"/>
    </row>
    <row r="17">
      <c r="A17" s="28"/>
      <c r="B17" s="28"/>
      <c r="C17" s="28"/>
      <c r="D17" s="28"/>
      <c r="E17" s="28"/>
    </row>
    <row r="18">
      <c r="A18" s="28"/>
      <c r="B18" s="28"/>
      <c r="C18" s="28"/>
      <c r="D18" s="28"/>
      <c r="E18" s="28"/>
    </row>
    <row r="19">
      <c r="A19" s="28"/>
      <c r="B19" s="28"/>
      <c r="C19" s="28"/>
      <c r="D19" s="28"/>
      <c r="E19" s="28"/>
    </row>
    <row r="20">
      <c r="A20" s="28"/>
      <c r="B20" s="28"/>
      <c r="C20" s="28"/>
      <c r="D20" s="28"/>
      <c r="E20" s="28"/>
    </row>
    <row r="21" ht="15.75" customHeight="1">
      <c r="A21" s="28"/>
      <c r="B21" s="28"/>
      <c r="C21" s="28"/>
      <c r="D21" s="28"/>
      <c r="E21" s="28"/>
    </row>
    <row r="22" ht="15.75" customHeight="1">
      <c r="A22" s="28"/>
      <c r="B22" s="28"/>
      <c r="C22" s="28"/>
      <c r="D22" s="28"/>
      <c r="E22" s="28"/>
    </row>
    <row r="23" ht="15.75" customHeight="1">
      <c r="A23" s="28"/>
      <c r="B23" s="28"/>
      <c r="C23" s="28"/>
      <c r="D23" s="28"/>
      <c r="E23" s="28"/>
    </row>
    <row r="24" ht="15.75" customHeight="1">
      <c r="A24" s="28"/>
      <c r="B24" s="28"/>
      <c r="C24" s="28"/>
      <c r="D24" s="28"/>
      <c r="E24" s="28"/>
    </row>
    <row r="25" ht="15.75" customHeight="1">
      <c r="A25" s="28"/>
      <c r="B25" s="28"/>
      <c r="C25" s="28"/>
      <c r="D25" s="28"/>
      <c r="E25" s="28"/>
    </row>
    <row r="26" ht="15.75" customHeight="1">
      <c r="A26" s="28"/>
      <c r="B26" s="28"/>
      <c r="C26" s="28"/>
      <c r="D26" s="28"/>
      <c r="E26" s="28"/>
    </row>
    <row r="27" ht="15.75" customHeight="1">
      <c r="A27" s="28"/>
      <c r="B27" s="28"/>
      <c r="C27" s="28"/>
      <c r="D27" s="28"/>
      <c r="E27" s="28"/>
    </row>
    <row r="28" ht="15.75" customHeight="1">
      <c r="A28" s="28"/>
      <c r="B28" s="28"/>
      <c r="C28" s="28"/>
      <c r="D28" s="28"/>
      <c r="E28" s="28"/>
    </row>
    <row r="29" ht="15.75" customHeight="1">
      <c r="A29" s="28"/>
      <c r="B29" s="28"/>
      <c r="C29" s="28"/>
      <c r="D29" s="28"/>
      <c r="E29" s="28"/>
    </row>
    <row r="30" ht="15.75" customHeight="1">
      <c r="A30" s="28"/>
      <c r="B30" s="28"/>
      <c r="C30" s="28"/>
      <c r="D30" s="28"/>
      <c r="E30" s="28"/>
    </row>
    <row r="31" ht="15.75" customHeight="1">
      <c r="A31" s="28"/>
      <c r="B31" s="28"/>
      <c r="C31" s="28"/>
      <c r="D31" s="28"/>
      <c r="E31" s="28"/>
    </row>
    <row r="32" ht="15.75" customHeight="1">
      <c r="A32" s="28"/>
      <c r="B32" s="28"/>
      <c r="C32" s="28"/>
      <c r="D32" s="28"/>
      <c r="E32" s="28"/>
    </row>
    <row r="33" ht="15.75" customHeight="1">
      <c r="A33" s="28"/>
      <c r="B33" s="28"/>
      <c r="C33" s="28"/>
      <c r="D33" s="28"/>
      <c r="E33" s="28"/>
    </row>
    <row r="34" ht="15.75" customHeight="1">
      <c r="A34" s="28"/>
      <c r="B34" s="28"/>
      <c r="C34" s="28"/>
      <c r="D34" s="28"/>
      <c r="E34" s="28"/>
    </row>
    <row r="35" ht="15.75" customHeight="1">
      <c r="A35" s="28"/>
      <c r="B35" s="28"/>
      <c r="C35" s="28"/>
      <c r="D35" s="28"/>
      <c r="E35" s="28"/>
    </row>
    <row r="36" ht="15.75" customHeight="1">
      <c r="A36" s="28"/>
      <c r="B36" s="28"/>
      <c r="C36" s="28"/>
      <c r="D36" s="28"/>
      <c r="E36" s="28"/>
    </row>
    <row r="37" ht="15.75" customHeight="1">
      <c r="A37" s="28"/>
      <c r="B37" s="28"/>
      <c r="C37" s="28"/>
      <c r="D37" s="28"/>
      <c r="E37" s="28"/>
    </row>
    <row r="38" ht="15.75" customHeight="1">
      <c r="A38" s="28"/>
      <c r="B38" s="28"/>
      <c r="C38" s="28"/>
      <c r="D38" s="28"/>
      <c r="E38" s="28"/>
    </row>
    <row r="39" ht="15.75" customHeight="1">
      <c r="A39" s="28"/>
      <c r="B39" s="28"/>
      <c r="C39" s="28"/>
      <c r="D39" s="28"/>
      <c r="E39" s="28"/>
    </row>
    <row r="40" ht="15.75" customHeight="1">
      <c r="A40" s="28"/>
      <c r="B40" s="28"/>
      <c r="C40" s="28"/>
      <c r="D40" s="28"/>
      <c r="E40" s="28"/>
    </row>
    <row r="41" ht="15.75" customHeight="1">
      <c r="A41" s="28"/>
      <c r="B41" s="28"/>
      <c r="C41" s="28"/>
      <c r="D41" s="28"/>
      <c r="E41" s="28"/>
    </row>
    <row r="42" ht="15.75" customHeight="1">
      <c r="A42" s="28"/>
      <c r="B42" s="28"/>
      <c r="C42" s="28"/>
      <c r="D42" s="28"/>
      <c r="E42" s="28"/>
    </row>
    <row r="43" ht="15.75" customHeight="1">
      <c r="A43" s="28"/>
      <c r="B43" s="28"/>
      <c r="C43" s="28"/>
      <c r="D43" s="28"/>
      <c r="E43" s="28"/>
    </row>
    <row r="44" ht="15.75" customHeight="1">
      <c r="A44" s="28"/>
      <c r="B44" s="28"/>
      <c r="C44" s="28"/>
      <c r="D44" s="28"/>
      <c r="E44" s="28"/>
    </row>
    <row r="45" ht="15.75" customHeight="1">
      <c r="A45" s="28"/>
      <c r="B45" s="28"/>
      <c r="C45" s="28"/>
      <c r="D45" s="28"/>
      <c r="E45" s="28"/>
    </row>
    <row r="46" ht="15.75" customHeight="1">
      <c r="A46" s="28"/>
      <c r="B46" s="28"/>
      <c r="C46" s="28"/>
      <c r="D46" s="28"/>
      <c r="E46" s="28"/>
    </row>
    <row r="47" ht="15.75" customHeight="1">
      <c r="A47" s="28"/>
      <c r="B47" s="28"/>
      <c r="C47" s="28"/>
      <c r="D47" s="28"/>
      <c r="E47" s="28"/>
    </row>
    <row r="48" ht="15.75" customHeight="1">
      <c r="A48" s="28"/>
      <c r="B48" s="28"/>
      <c r="C48" s="28"/>
      <c r="D48" s="28"/>
      <c r="E48" s="28"/>
    </row>
    <row r="49" ht="15.75" customHeight="1">
      <c r="A49" s="28"/>
      <c r="B49" s="28"/>
      <c r="C49" s="28"/>
      <c r="D49" s="28"/>
      <c r="E49" s="28"/>
    </row>
    <row r="50" ht="15.75" customHeight="1">
      <c r="A50" s="28"/>
      <c r="B50" s="28"/>
      <c r="C50" s="28"/>
      <c r="D50" s="28"/>
      <c r="E50" s="28"/>
    </row>
    <row r="51" ht="15.75" customHeight="1">
      <c r="A51" s="28"/>
      <c r="B51" s="28"/>
      <c r="C51" s="28"/>
      <c r="D51" s="28"/>
      <c r="E51" s="28"/>
    </row>
    <row r="52" ht="15.75" customHeight="1">
      <c r="A52" s="28"/>
      <c r="B52" s="28"/>
      <c r="C52" s="28"/>
      <c r="D52" s="28"/>
      <c r="E52" s="28"/>
    </row>
    <row r="53" ht="15.75" customHeight="1">
      <c r="A53" s="28"/>
      <c r="B53" s="28"/>
      <c r="C53" s="28"/>
      <c r="D53" s="28"/>
      <c r="E53" s="28"/>
    </row>
    <row r="54" ht="15.75" customHeight="1">
      <c r="A54" s="28"/>
      <c r="B54" s="28"/>
      <c r="C54" s="28"/>
      <c r="D54" s="28"/>
      <c r="E54" s="28"/>
    </row>
    <row r="55" ht="15.75" customHeight="1">
      <c r="A55" s="28"/>
      <c r="B55" s="28"/>
      <c r="C55" s="28"/>
      <c r="D55" s="28"/>
      <c r="E55" s="28"/>
    </row>
    <row r="56" ht="15.75" customHeight="1">
      <c r="A56" s="28"/>
      <c r="B56" s="28"/>
      <c r="C56" s="28"/>
      <c r="D56" s="28"/>
      <c r="E56" s="28"/>
    </row>
    <row r="57" ht="15.75" customHeight="1">
      <c r="A57" s="28"/>
      <c r="B57" s="28"/>
      <c r="C57" s="28"/>
      <c r="D57" s="28"/>
      <c r="E57" s="28"/>
    </row>
    <row r="58" ht="15.75" customHeight="1">
      <c r="A58" s="28"/>
      <c r="B58" s="28"/>
      <c r="C58" s="28"/>
      <c r="D58" s="28"/>
      <c r="E58" s="28"/>
    </row>
    <row r="59" ht="15.75" customHeight="1">
      <c r="A59" s="28"/>
      <c r="B59" s="28"/>
      <c r="C59" s="28"/>
      <c r="D59" s="28"/>
      <c r="E59" s="28"/>
    </row>
    <row r="60" ht="15.75" customHeight="1">
      <c r="A60" s="28"/>
      <c r="B60" s="28"/>
      <c r="C60" s="28"/>
      <c r="D60" s="28"/>
      <c r="E60" s="28"/>
    </row>
    <row r="61" ht="15.75" customHeight="1">
      <c r="A61" s="28"/>
      <c r="B61" s="28"/>
      <c r="C61" s="28"/>
      <c r="D61" s="28"/>
      <c r="E61" s="28"/>
    </row>
    <row r="62" ht="15.75" customHeight="1">
      <c r="A62" s="28"/>
      <c r="B62" s="28"/>
      <c r="C62" s="28"/>
      <c r="D62" s="28"/>
      <c r="E62" s="28"/>
    </row>
    <row r="63" ht="15.75" customHeight="1">
      <c r="A63" s="28"/>
      <c r="B63" s="28"/>
      <c r="C63" s="28"/>
      <c r="D63" s="28"/>
      <c r="E63" s="28"/>
    </row>
    <row r="64" ht="15.75" customHeight="1">
      <c r="A64" s="28"/>
      <c r="B64" s="28"/>
      <c r="C64" s="28"/>
      <c r="D64" s="28"/>
      <c r="E64" s="28"/>
    </row>
    <row r="65" ht="15.75" customHeight="1">
      <c r="A65" s="28"/>
      <c r="B65" s="28"/>
      <c r="C65" s="28"/>
      <c r="D65" s="28"/>
      <c r="E65" s="28"/>
    </row>
    <row r="66" ht="15.75" customHeight="1">
      <c r="A66" s="28"/>
      <c r="B66" s="28"/>
      <c r="C66" s="28"/>
      <c r="D66" s="28"/>
      <c r="E66" s="28"/>
    </row>
    <row r="67" ht="15.75" customHeight="1">
      <c r="A67" s="28"/>
      <c r="B67" s="28"/>
      <c r="C67" s="28"/>
      <c r="D67" s="28"/>
      <c r="E67" s="28"/>
    </row>
    <row r="68" ht="15.75" customHeight="1">
      <c r="A68" s="28"/>
      <c r="B68" s="28"/>
      <c r="C68" s="28"/>
      <c r="D68" s="28"/>
      <c r="E68" s="28"/>
    </row>
    <row r="69" ht="15.75" customHeight="1">
      <c r="A69" s="28"/>
      <c r="B69" s="28"/>
      <c r="C69" s="28"/>
      <c r="D69" s="28"/>
      <c r="E69" s="28"/>
    </row>
    <row r="70" ht="15.75" customHeight="1">
      <c r="A70" s="28"/>
      <c r="B70" s="28"/>
      <c r="C70" s="28"/>
      <c r="D70" s="28"/>
      <c r="E70" s="28"/>
    </row>
    <row r="71" ht="15.75" customHeight="1">
      <c r="A71" s="28"/>
      <c r="B71" s="28"/>
      <c r="C71" s="28"/>
      <c r="D71" s="28"/>
      <c r="E71" s="28"/>
    </row>
    <row r="72" ht="15.75" customHeight="1">
      <c r="A72" s="28"/>
      <c r="B72" s="28"/>
      <c r="C72" s="28"/>
      <c r="D72" s="28"/>
      <c r="E72" s="28"/>
    </row>
    <row r="73" ht="15.75" customHeight="1">
      <c r="A73" s="28"/>
      <c r="B73" s="28"/>
      <c r="C73" s="28"/>
      <c r="D73" s="28"/>
      <c r="E73" s="28"/>
    </row>
    <row r="74" ht="15.75" customHeight="1">
      <c r="A74" s="28"/>
      <c r="B74" s="28"/>
      <c r="C74" s="28"/>
      <c r="D74" s="28"/>
      <c r="E74" s="28"/>
    </row>
    <row r="75" ht="15.75" customHeight="1">
      <c r="A75" s="28"/>
      <c r="B75" s="28"/>
      <c r="C75" s="28"/>
      <c r="D75" s="28"/>
      <c r="E75" s="28"/>
    </row>
    <row r="76" ht="15.75" customHeight="1">
      <c r="A76" s="28"/>
      <c r="B76" s="28"/>
      <c r="C76" s="28"/>
      <c r="D76" s="28"/>
      <c r="E76" s="28"/>
    </row>
    <row r="77" ht="15.75" customHeight="1">
      <c r="A77" s="28"/>
      <c r="B77" s="28"/>
      <c r="C77" s="28"/>
      <c r="D77" s="28"/>
      <c r="E77" s="28"/>
    </row>
    <row r="78" ht="15.75" customHeight="1">
      <c r="A78" s="28"/>
      <c r="B78" s="28"/>
      <c r="C78" s="28"/>
      <c r="D78" s="28"/>
      <c r="E78" s="28"/>
    </row>
    <row r="79" ht="15.75" customHeight="1">
      <c r="A79" s="28"/>
      <c r="B79" s="28"/>
      <c r="C79" s="28"/>
      <c r="D79" s="28"/>
      <c r="E79" s="28"/>
    </row>
    <row r="80" ht="15.75" customHeight="1">
      <c r="A80" s="28"/>
      <c r="B80" s="28"/>
      <c r="C80" s="28"/>
      <c r="D80" s="28"/>
      <c r="E80" s="28"/>
    </row>
    <row r="81" ht="15.75" customHeight="1">
      <c r="A81" s="28"/>
      <c r="B81" s="28"/>
      <c r="C81" s="28"/>
      <c r="D81" s="28"/>
      <c r="E81" s="28"/>
    </row>
    <row r="82" ht="15.75" customHeight="1">
      <c r="A82" s="28"/>
      <c r="B82" s="28"/>
      <c r="C82" s="28"/>
      <c r="D82" s="28"/>
      <c r="E82" s="28"/>
    </row>
    <row r="83" ht="15.75" customHeight="1">
      <c r="A83" s="28"/>
      <c r="B83" s="28"/>
      <c r="C83" s="28"/>
      <c r="D83" s="28"/>
      <c r="E83" s="28"/>
    </row>
    <row r="84" ht="15.75" customHeight="1">
      <c r="A84" s="28"/>
      <c r="B84" s="28"/>
      <c r="C84" s="28"/>
      <c r="D84" s="28"/>
      <c r="E84" s="28"/>
    </row>
    <row r="85" ht="15.75" customHeight="1">
      <c r="A85" s="28"/>
      <c r="B85" s="28"/>
      <c r="C85" s="28"/>
      <c r="D85" s="28"/>
      <c r="E85" s="28"/>
    </row>
    <row r="86" ht="15.75" customHeight="1">
      <c r="A86" s="28"/>
      <c r="B86" s="28"/>
      <c r="C86" s="28"/>
      <c r="D86" s="28"/>
      <c r="E86" s="28"/>
    </row>
    <row r="87" ht="15.75" customHeight="1">
      <c r="A87" s="28"/>
      <c r="B87" s="28"/>
      <c r="C87" s="28"/>
      <c r="D87" s="28"/>
      <c r="E87" s="28"/>
    </row>
    <row r="88" ht="15.75" customHeight="1">
      <c r="A88" s="28"/>
      <c r="B88" s="28"/>
      <c r="C88" s="28"/>
      <c r="D88" s="28"/>
      <c r="E88" s="28"/>
    </row>
    <row r="89" ht="15.75" customHeight="1">
      <c r="A89" s="28"/>
      <c r="B89" s="28"/>
      <c r="C89" s="28"/>
      <c r="D89" s="28"/>
      <c r="E89" s="28"/>
    </row>
    <row r="90" ht="15.75" customHeight="1">
      <c r="A90" s="28"/>
      <c r="B90" s="28"/>
      <c r="C90" s="28"/>
      <c r="D90" s="28"/>
      <c r="E90" s="28"/>
    </row>
    <row r="91" ht="15.75" customHeight="1">
      <c r="A91" s="28"/>
      <c r="B91" s="28"/>
      <c r="C91" s="28"/>
      <c r="D91" s="28"/>
      <c r="E91" s="28"/>
    </row>
    <row r="92" ht="15.75" customHeight="1">
      <c r="A92" s="28"/>
      <c r="B92" s="28"/>
      <c r="C92" s="28"/>
      <c r="D92" s="28"/>
      <c r="E92" s="28"/>
    </row>
    <row r="93" ht="15.75" customHeight="1">
      <c r="A93" s="28"/>
      <c r="B93" s="28"/>
      <c r="C93" s="28"/>
      <c r="D93" s="28"/>
      <c r="E93" s="28"/>
    </row>
    <row r="94" ht="15.75" customHeight="1">
      <c r="A94" s="28"/>
      <c r="B94" s="28"/>
      <c r="C94" s="28"/>
      <c r="D94" s="28"/>
      <c r="E94" s="28"/>
    </row>
    <row r="95" ht="15.75" customHeight="1">
      <c r="A95" s="28"/>
      <c r="B95" s="28"/>
      <c r="C95" s="28"/>
      <c r="D95" s="28"/>
      <c r="E95" s="28"/>
    </row>
    <row r="96" ht="15.75" customHeight="1">
      <c r="A96" s="28"/>
      <c r="B96" s="28"/>
      <c r="C96" s="28"/>
      <c r="D96" s="28"/>
      <c r="E96" s="28"/>
    </row>
    <row r="97" ht="15.75" customHeight="1">
      <c r="A97" s="28"/>
      <c r="B97" s="28"/>
      <c r="C97" s="28"/>
      <c r="D97" s="28"/>
      <c r="E97" s="28"/>
    </row>
    <row r="98" ht="15.75" customHeight="1">
      <c r="A98" s="28"/>
      <c r="B98" s="28"/>
      <c r="C98" s="28"/>
      <c r="D98" s="28"/>
      <c r="E98" s="28"/>
    </row>
    <row r="99" ht="15.75" customHeight="1">
      <c r="A99" s="28"/>
      <c r="B99" s="28"/>
      <c r="C99" s="28"/>
      <c r="D99" s="28"/>
      <c r="E99" s="28"/>
    </row>
    <row r="100" ht="15.75" customHeight="1">
      <c r="A100" s="28"/>
      <c r="B100" s="28"/>
      <c r="C100" s="28"/>
      <c r="D100" s="28"/>
      <c r="E100" s="28"/>
    </row>
    <row r="101" ht="15.75" customHeight="1">
      <c r="A101" s="28"/>
      <c r="B101" s="28"/>
      <c r="C101" s="28"/>
      <c r="D101" s="28"/>
      <c r="E101" s="28"/>
    </row>
    <row r="102" ht="15.75" customHeight="1">
      <c r="A102" s="28"/>
      <c r="B102" s="28"/>
      <c r="C102" s="28"/>
      <c r="D102" s="28"/>
      <c r="E102" s="28"/>
    </row>
    <row r="103" ht="15.75" customHeight="1">
      <c r="A103" s="28"/>
      <c r="B103" s="28"/>
      <c r="C103" s="28"/>
      <c r="D103" s="28"/>
      <c r="E103" s="28"/>
    </row>
    <row r="104" ht="15.75" customHeight="1">
      <c r="A104" s="28"/>
      <c r="B104" s="28"/>
      <c r="C104" s="28"/>
      <c r="D104" s="28"/>
      <c r="E104" s="28"/>
    </row>
    <row r="105" ht="15.75" customHeight="1">
      <c r="A105" s="28"/>
      <c r="B105" s="28"/>
      <c r="C105" s="28"/>
      <c r="D105" s="28"/>
      <c r="E105" s="28"/>
    </row>
    <row r="106" ht="15.75" customHeight="1">
      <c r="A106" s="28"/>
      <c r="B106" s="28"/>
      <c r="C106" s="28"/>
      <c r="D106" s="28"/>
      <c r="E106" s="28"/>
    </row>
    <row r="107" ht="15.75" customHeight="1">
      <c r="A107" s="28"/>
      <c r="B107" s="28"/>
      <c r="C107" s="28"/>
      <c r="D107" s="28"/>
      <c r="E107" s="28"/>
    </row>
    <row r="108" ht="15.75" customHeight="1">
      <c r="A108" s="28"/>
      <c r="B108" s="28"/>
      <c r="C108" s="28"/>
      <c r="D108" s="28"/>
      <c r="E108" s="28"/>
    </row>
    <row r="109" ht="15.75" customHeight="1">
      <c r="A109" s="28"/>
      <c r="B109" s="28"/>
      <c r="C109" s="28"/>
      <c r="D109" s="28"/>
      <c r="E109" s="28"/>
    </row>
    <row r="110" ht="15.75" customHeight="1">
      <c r="A110" s="28"/>
      <c r="B110" s="28"/>
      <c r="C110" s="28"/>
      <c r="D110" s="28"/>
      <c r="E110" s="28"/>
    </row>
    <row r="111" ht="15.75" customHeight="1">
      <c r="A111" s="28"/>
      <c r="B111" s="28"/>
      <c r="C111" s="28"/>
      <c r="D111" s="28"/>
      <c r="E111" s="28"/>
    </row>
    <row r="112" ht="15.75" customHeight="1">
      <c r="A112" s="28"/>
      <c r="B112" s="28"/>
      <c r="C112" s="28"/>
      <c r="D112" s="28"/>
      <c r="E112" s="28"/>
    </row>
    <row r="113" ht="15.75" customHeight="1">
      <c r="A113" s="28"/>
      <c r="B113" s="28"/>
      <c r="C113" s="28"/>
      <c r="D113" s="28"/>
      <c r="E113" s="28"/>
    </row>
    <row r="114" ht="15.75" customHeight="1">
      <c r="A114" s="28"/>
      <c r="B114" s="28"/>
      <c r="C114" s="28"/>
      <c r="D114" s="28"/>
      <c r="E114" s="28"/>
    </row>
    <row r="115" ht="15.75" customHeight="1">
      <c r="A115" s="28"/>
      <c r="B115" s="28"/>
      <c r="C115" s="28"/>
      <c r="D115" s="28"/>
      <c r="E115" s="28"/>
    </row>
    <row r="116" ht="15.75" customHeight="1">
      <c r="A116" s="28"/>
      <c r="B116" s="28"/>
      <c r="C116" s="28"/>
      <c r="D116" s="28"/>
      <c r="E116" s="28"/>
    </row>
    <row r="117" ht="15.75" customHeight="1">
      <c r="A117" s="28"/>
      <c r="B117" s="28"/>
      <c r="C117" s="28"/>
      <c r="D117" s="28"/>
      <c r="E117" s="28"/>
    </row>
    <row r="118" ht="15.75" customHeight="1">
      <c r="A118" s="28"/>
      <c r="B118" s="28"/>
      <c r="C118" s="28"/>
      <c r="D118" s="28"/>
      <c r="E118" s="28"/>
    </row>
    <row r="119" ht="15.75" customHeight="1">
      <c r="A119" s="28"/>
      <c r="B119" s="28"/>
      <c r="C119" s="28"/>
      <c r="D119" s="28"/>
      <c r="E119" s="28"/>
    </row>
    <row r="120" ht="15.75" customHeight="1">
      <c r="A120" s="28"/>
      <c r="B120" s="28"/>
      <c r="C120" s="28"/>
      <c r="D120" s="28"/>
      <c r="E120" s="28"/>
    </row>
    <row r="121" ht="15.75" customHeight="1">
      <c r="A121" s="28"/>
      <c r="B121" s="28"/>
      <c r="C121" s="28"/>
      <c r="D121" s="28"/>
      <c r="E121" s="28"/>
    </row>
    <row r="122" ht="15.75" customHeight="1">
      <c r="A122" s="28"/>
      <c r="B122" s="28"/>
      <c r="C122" s="28"/>
      <c r="D122" s="28"/>
      <c r="E122" s="28"/>
    </row>
    <row r="123" ht="15.75" customHeight="1">
      <c r="A123" s="28"/>
      <c r="B123" s="28"/>
      <c r="C123" s="28"/>
      <c r="D123" s="28"/>
      <c r="E123" s="28"/>
    </row>
    <row r="124" ht="15.75" customHeight="1">
      <c r="A124" s="28"/>
      <c r="B124" s="28"/>
      <c r="C124" s="28"/>
      <c r="D124" s="28"/>
      <c r="E124" s="28"/>
    </row>
    <row r="125" ht="15.75" customHeight="1">
      <c r="A125" s="28"/>
      <c r="B125" s="28"/>
      <c r="C125" s="28"/>
      <c r="D125" s="28"/>
      <c r="E125" s="28"/>
    </row>
    <row r="126" ht="15.75" customHeight="1">
      <c r="A126" s="28"/>
      <c r="B126" s="28"/>
      <c r="C126" s="28"/>
      <c r="D126" s="28"/>
      <c r="E126" s="28"/>
    </row>
    <row r="127" ht="15.75" customHeight="1">
      <c r="A127" s="28"/>
      <c r="B127" s="28"/>
      <c r="C127" s="28"/>
      <c r="D127" s="28"/>
      <c r="E127" s="28"/>
    </row>
    <row r="128" ht="15.75" customHeight="1">
      <c r="A128" s="28"/>
      <c r="B128" s="28"/>
      <c r="C128" s="28"/>
      <c r="D128" s="28"/>
      <c r="E128" s="28"/>
    </row>
    <row r="129" ht="15.75" customHeight="1">
      <c r="A129" s="28"/>
      <c r="B129" s="28"/>
      <c r="C129" s="28"/>
      <c r="D129" s="28"/>
      <c r="E129" s="28"/>
    </row>
    <row r="130" ht="15.75" customHeight="1">
      <c r="A130" s="28"/>
      <c r="B130" s="28"/>
      <c r="C130" s="28"/>
      <c r="D130" s="28"/>
      <c r="E130" s="28"/>
    </row>
    <row r="131" ht="15.75" customHeight="1">
      <c r="A131" s="28"/>
      <c r="B131" s="28"/>
      <c r="C131" s="28"/>
      <c r="D131" s="28"/>
      <c r="E131" s="28"/>
    </row>
    <row r="132" ht="15.75" customHeight="1">
      <c r="A132" s="28"/>
      <c r="B132" s="28"/>
      <c r="C132" s="28"/>
      <c r="D132" s="28"/>
      <c r="E132" s="28"/>
    </row>
    <row r="133" ht="15.75" customHeight="1">
      <c r="A133" s="28"/>
      <c r="B133" s="28"/>
      <c r="C133" s="28"/>
      <c r="D133" s="28"/>
      <c r="E133" s="28"/>
    </row>
    <row r="134" ht="15.75" customHeight="1">
      <c r="A134" s="28"/>
      <c r="B134" s="28"/>
      <c r="C134" s="28"/>
      <c r="D134" s="28"/>
      <c r="E134" s="28"/>
    </row>
    <row r="135" ht="15.75" customHeight="1">
      <c r="A135" s="28"/>
      <c r="B135" s="28"/>
      <c r="C135" s="28"/>
      <c r="D135" s="28"/>
      <c r="E135" s="28"/>
    </row>
    <row r="136" ht="15.75" customHeight="1">
      <c r="A136" s="28"/>
      <c r="B136" s="28"/>
      <c r="C136" s="28"/>
      <c r="D136" s="28"/>
      <c r="E136" s="28"/>
    </row>
    <row r="137" ht="15.75" customHeight="1">
      <c r="A137" s="28"/>
      <c r="B137" s="28"/>
      <c r="C137" s="28"/>
      <c r="D137" s="28"/>
      <c r="E137" s="28"/>
    </row>
    <row r="138" ht="15.75" customHeight="1">
      <c r="A138" s="28"/>
      <c r="B138" s="28"/>
      <c r="C138" s="28"/>
      <c r="D138" s="28"/>
      <c r="E138" s="28"/>
    </row>
    <row r="139" ht="15.75" customHeight="1">
      <c r="A139" s="28"/>
      <c r="B139" s="28"/>
      <c r="C139" s="28"/>
      <c r="D139" s="28"/>
      <c r="E139" s="28"/>
    </row>
    <row r="140" ht="15.75" customHeight="1">
      <c r="A140" s="28"/>
      <c r="B140" s="28"/>
      <c r="C140" s="28"/>
      <c r="D140" s="28"/>
      <c r="E140" s="28"/>
    </row>
    <row r="141" ht="15.75" customHeight="1">
      <c r="A141" s="28"/>
      <c r="B141" s="28"/>
      <c r="C141" s="28"/>
      <c r="D141" s="28"/>
      <c r="E141" s="28"/>
    </row>
    <row r="142" ht="15.75" customHeight="1">
      <c r="A142" s="28"/>
      <c r="B142" s="28"/>
      <c r="C142" s="28"/>
      <c r="D142" s="28"/>
      <c r="E142" s="28"/>
    </row>
    <row r="143" ht="15.75" customHeight="1">
      <c r="A143" s="28"/>
      <c r="B143" s="28"/>
      <c r="C143" s="28"/>
      <c r="D143" s="28"/>
      <c r="E143" s="28"/>
    </row>
    <row r="144" ht="15.75" customHeight="1">
      <c r="A144" s="28"/>
      <c r="B144" s="28"/>
      <c r="C144" s="28"/>
      <c r="D144" s="28"/>
      <c r="E144" s="28"/>
    </row>
    <row r="145" ht="15.75" customHeight="1">
      <c r="A145" s="28"/>
      <c r="B145" s="28"/>
      <c r="C145" s="28"/>
      <c r="D145" s="28"/>
      <c r="E145" s="28"/>
    </row>
    <row r="146" ht="15.75" customHeight="1">
      <c r="A146" s="28"/>
      <c r="B146" s="28"/>
      <c r="C146" s="28"/>
      <c r="D146" s="28"/>
      <c r="E146" s="28"/>
    </row>
    <row r="147" ht="15.75" customHeight="1">
      <c r="A147" s="28"/>
      <c r="B147" s="28"/>
      <c r="C147" s="28"/>
      <c r="D147" s="28"/>
      <c r="E147" s="28"/>
    </row>
    <row r="148" ht="15.75" customHeight="1">
      <c r="A148" s="28"/>
      <c r="B148" s="28"/>
      <c r="C148" s="28"/>
      <c r="D148" s="28"/>
      <c r="E148" s="28"/>
    </row>
    <row r="149" ht="15.75" customHeight="1">
      <c r="A149" s="28"/>
      <c r="B149" s="28"/>
      <c r="C149" s="28"/>
      <c r="D149" s="28"/>
      <c r="E149" s="28"/>
    </row>
    <row r="150" ht="15.75" customHeight="1">
      <c r="A150" s="28"/>
      <c r="B150" s="28"/>
      <c r="C150" s="28"/>
      <c r="D150" s="28"/>
      <c r="E150" s="28"/>
    </row>
    <row r="151" ht="15.75" customHeight="1">
      <c r="A151" s="28"/>
      <c r="B151" s="28"/>
      <c r="C151" s="28"/>
      <c r="D151" s="28"/>
      <c r="E151" s="28"/>
    </row>
    <row r="152" ht="15.75" customHeight="1">
      <c r="A152" s="28"/>
      <c r="B152" s="28"/>
      <c r="C152" s="28"/>
      <c r="D152" s="28"/>
      <c r="E152" s="28"/>
    </row>
    <row r="153" ht="15.75" customHeight="1">
      <c r="A153" s="28"/>
      <c r="B153" s="28"/>
      <c r="C153" s="28"/>
      <c r="D153" s="28"/>
      <c r="E153" s="28"/>
    </row>
    <row r="154" ht="15.75" customHeight="1">
      <c r="A154" s="28"/>
      <c r="B154" s="28"/>
      <c r="C154" s="28"/>
      <c r="D154" s="28"/>
      <c r="E154" s="28"/>
    </row>
    <row r="155" ht="15.75" customHeight="1">
      <c r="A155" s="28"/>
      <c r="B155" s="28"/>
      <c r="C155" s="28"/>
      <c r="D155" s="28"/>
      <c r="E155" s="28"/>
    </row>
    <row r="156" ht="15.75" customHeight="1">
      <c r="A156" s="28"/>
      <c r="B156" s="28"/>
      <c r="C156" s="28"/>
      <c r="D156" s="28"/>
      <c r="E156" s="28"/>
    </row>
    <row r="157" ht="15.75" customHeight="1">
      <c r="A157" s="28"/>
      <c r="B157" s="28"/>
      <c r="C157" s="28"/>
      <c r="D157" s="28"/>
      <c r="E157" s="28"/>
    </row>
    <row r="158" ht="15.75" customHeight="1">
      <c r="A158" s="28"/>
      <c r="B158" s="28"/>
      <c r="C158" s="28"/>
      <c r="D158" s="28"/>
      <c r="E158" s="28"/>
    </row>
    <row r="159" ht="15.75" customHeight="1">
      <c r="A159" s="28"/>
      <c r="B159" s="28"/>
      <c r="C159" s="28"/>
      <c r="D159" s="28"/>
      <c r="E159" s="28"/>
    </row>
    <row r="160" ht="15.75" customHeight="1">
      <c r="A160" s="28"/>
      <c r="B160" s="28"/>
      <c r="C160" s="28"/>
      <c r="D160" s="28"/>
      <c r="E160" s="28"/>
    </row>
    <row r="161" ht="15.75" customHeight="1">
      <c r="A161" s="28"/>
      <c r="B161" s="28"/>
      <c r="C161" s="28"/>
      <c r="D161" s="28"/>
      <c r="E161" s="28"/>
    </row>
    <row r="162" ht="15.75" customHeight="1">
      <c r="A162" s="28"/>
      <c r="B162" s="28"/>
      <c r="C162" s="28"/>
      <c r="D162" s="28"/>
      <c r="E162" s="28"/>
    </row>
    <row r="163" ht="15.75" customHeight="1">
      <c r="A163" s="28"/>
      <c r="B163" s="28"/>
      <c r="C163" s="28"/>
      <c r="D163" s="28"/>
      <c r="E163" s="28"/>
    </row>
    <row r="164" ht="15.75" customHeight="1">
      <c r="A164" s="28"/>
      <c r="B164" s="28"/>
      <c r="C164" s="28"/>
      <c r="D164" s="28"/>
      <c r="E164" s="28"/>
    </row>
    <row r="165" ht="15.75" customHeight="1">
      <c r="A165" s="28"/>
      <c r="B165" s="28"/>
      <c r="C165" s="28"/>
      <c r="D165" s="28"/>
      <c r="E165" s="28"/>
    </row>
    <row r="166" ht="15.75" customHeight="1">
      <c r="A166" s="28"/>
      <c r="B166" s="28"/>
      <c r="C166" s="28"/>
      <c r="D166" s="28"/>
      <c r="E166" s="28"/>
    </row>
    <row r="167" ht="15.75" customHeight="1">
      <c r="A167" s="28"/>
      <c r="B167" s="28"/>
      <c r="C167" s="28"/>
      <c r="D167" s="28"/>
      <c r="E167" s="28"/>
    </row>
    <row r="168" ht="15.75" customHeight="1">
      <c r="A168" s="28"/>
      <c r="B168" s="28"/>
      <c r="C168" s="28"/>
      <c r="D168" s="28"/>
      <c r="E168" s="28"/>
    </row>
    <row r="169" ht="15.75" customHeight="1">
      <c r="A169" s="28"/>
      <c r="B169" s="28"/>
      <c r="C169" s="28"/>
      <c r="D169" s="28"/>
      <c r="E169" s="28"/>
    </row>
    <row r="170" ht="15.75" customHeight="1">
      <c r="A170" s="28"/>
      <c r="B170" s="28"/>
      <c r="C170" s="28"/>
      <c r="D170" s="28"/>
      <c r="E170" s="28"/>
    </row>
    <row r="171" ht="15.75" customHeight="1">
      <c r="A171" s="28"/>
      <c r="B171" s="28"/>
      <c r="C171" s="28"/>
      <c r="D171" s="28"/>
      <c r="E171" s="28"/>
    </row>
    <row r="172" ht="15.75" customHeight="1">
      <c r="A172" s="28"/>
      <c r="B172" s="28"/>
      <c r="C172" s="28"/>
      <c r="D172" s="28"/>
      <c r="E172" s="28"/>
    </row>
    <row r="173" ht="15.75" customHeight="1">
      <c r="A173" s="28"/>
      <c r="B173" s="28"/>
      <c r="C173" s="28"/>
      <c r="D173" s="28"/>
      <c r="E173" s="28"/>
    </row>
    <row r="174" ht="15.75" customHeight="1">
      <c r="A174" s="28"/>
      <c r="B174" s="28"/>
      <c r="C174" s="28"/>
      <c r="D174" s="28"/>
      <c r="E174" s="28"/>
    </row>
    <row r="175" ht="15.75" customHeight="1">
      <c r="A175" s="28"/>
      <c r="B175" s="28"/>
      <c r="C175" s="28"/>
      <c r="D175" s="28"/>
      <c r="E175" s="28"/>
    </row>
    <row r="176" ht="15.75" customHeight="1">
      <c r="A176" s="28"/>
      <c r="B176" s="28"/>
      <c r="C176" s="28"/>
      <c r="D176" s="28"/>
      <c r="E176" s="28"/>
    </row>
    <row r="177" ht="15.75" customHeight="1">
      <c r="A177" s="28"/>
      <c r="B177" s="28"/>
      <c r="C177" s="28"/>
      <c r="D177" s="28"/>
      <c r="E177" s="28"/>
    </row>
    <row r="178" ht="15.75" customHeight="1">
      <c r="A178" s="28"/>
      <c r="B178" s="28"/>
      <c r="C178" s="28"/>
      <c r="D178" s="28"/>
      <c r="E178" s="28"/>
    </row>
    <row r="179" ht="15.75" customHeight="1">
      <c r="A179" s="28"/>
      <c r="B179" s="28"/>
      <c r="C179" s="28"/>
      <c r="D179" s="28"/>
      <c r="E179" s="28"/>
    </row>
    <row r="180" ht="15.75" customHeight="1">
      <c r="A180" s="28"/>
      <c r="B180" s="28"/>
      <c r="C180" s="28"/>
      <c r="D180" s="28"/>
      <c r="E180" s="28"/>
    </row>
    <row r="181" ht="15.75" customHeight="1">
      <c r="A181" s="28"/>
      <c r="B181" s="28"/>
      <c r="C181" s="28"/>
      <c r="D181" s="28"/>
      <c r="E181" s="28"/>
    </row>
    <row r="182" ht="15.75" customHeight="1">
      <c r="A182" s="28"/>
      <c r="B182" s="28"/>
      <c r="C182" s="28"/>
      <c r="D182" s="28"/>
      <c r="E182" s="28"/>
    </row>
    <row r="183" ht="15.75" customHeight="1">
      <c r="A183" s="28"/>
      <c r="B183" s="28"/>
      <c r="C183" s="28"/>
      <c r="D183" s="28"/>
      <c r="E183" s="28"/>
    </row>
    <row r="184" ht="15.75" customHeight="1">
      <c r="A184" s="28"/>
      <c r="B184" s="28"/>
      <c r="C184" s="28"/>
      <c r="D184" s="28"/>
      <c r="E184" s="28"/>
    </row>
    <row r="185" ht="15.75" customHeight="1">
      <c r="A185" s="28"/>
      <c r="B185" s="28"/>
      <c r="C185" s="28"/>
      <c r="D185" s="28"/>
      <c r="E185" s="28"/>
    </row>
    <row r="186" ht="15.75" customHeight="1">
      <c r="A186" s="28"/>
      <c r="B186" s="28"/>
      <c r="C186" s="28"/>
      <c r="D186" s="28"/>
      <c r="E186" s="28"/>
    </row>
    <row r="187" ht="15.75" customHeight="1">
      <c r="A187" s="28"/>
      <c r="B187" s="28"/>
      <c r="C187" s="28"/>
      <c r="D187" s="28"/>
      <c r="E187" s="28"/>
    </row>
    <row r="188" ht="15.75" customHeight="1">
      <c r="A188" s="28"/>
      <c r="B188" s="28"/>
      <c r="C188" s="28"/>
      <c r="D188" s="28"/>
      <c r="E188" s="28"/>
    </row>
    <row r="189" ht="15.75" customHeight="1">
      <c r="A189" s="28"/>
      <c r="B189" s="28"/>
      <c r="C189" s="28"/>
      <c r="D189" s="28"/>
      <c r="E189" s="28"/>
    </row>
    <row r="190" ht="15.75" customHeight="1">
      <c r="A190" s="28"/>
      <c r="B190" s="28"/>
      <c r="C190" s="28"/>
      <c r="D190" s="28"/>
      <c r="E190" s="28"/>
    </row>
    <row r="191" ht="15.75" customHeight="1">
      <c r="A191" s="28"/>
      <c r="B191" s="28"/>
      <c r="C191" s="28"/>
      <c r="D191" s="28"/>
      <c r="E191" s="28"/>
    </row>
    <row r="192" ht="15.75" customHeight="1">
      <c r="A192" s="28"/>
      <c r="B192" s="28"/>
      <c r="C192" s="28"/>
      <c r="D192" s="28"/>
      <c r="E192" s="28"/>
    </row>
    <row r="193" ht="15.75" customHeight="1">
      <c r="A193" s="28"/>
      <c r="B193" s="28"/>
      <c r="C193" s="28"/>
      <c r="D193" s="28"/>
      <c r="E193" s="28"/>
    </row>
    <row r="194" ht="15.75" customHeight="1">
      <c r="A194" s="28"/>
      <c r="B194" s="28"/>
      <c r="C194" s="28"/>
      <c r="D194" s="28"/>
      <c r="E194" s="28"/>
    </row>
    <row r="195" ht="15.75" customHeight="1">
      <c r="A195" s="28"/>
      <c r="B195" s="28"/>
      <c r="C195" s="28"/>
      <c r="D195" s="28"/>
      <c r="E195" s="28"/>
    </row>
    <row r="196" ht="15.75" customHeight="1">
      <c r="A196" s="28"/>
      <c r="B196" s="28"/>
      <c r="C196" s="28"/>
      <c r="D196" s="28"/>
      <c r="E196" s="28"/>
    </row>
    <row r="197" ht="15.75" customHeight="1">
      <c r="A197" s="28"/>
      <c r="B197" s="28"/>
      <c r="C197" s="28"/>
      <c r="D197" s="28"/>
      <c r="E197" s="28"/>
    </row>
    <row r="198" ht="15.75" customHeight="1">
      <c r="A198" s="28"/>
      <c r="B198" s="28"/>
      <c r="C198" s="28"/>
      <c r="D198" s="28"/>
      <c r="E198" s="28"/>
    </row>
    <row r="199" ht="15.75" customHeight="1">
      <c r="A199" s="28"/>
      <c r="B199" s="28"/>
      <c r="C199" s="28"/>
      <c r="D199" s="28"/>
      <c r="E199" s="28"/>
    </row>
    <row r="200" ht="15.75" customHeight="1">
      <c r="A200" s="28"/>
      <c r="B200" s="28"/>
      <c r="C200" s="28"/>
      <c r="D200" s="28"/>
      <c r="E200" s="28"/>
    </row>
    <row r="201" ht="15.75" customHeight="1">
      <c r="A201" s="28"/>
      <c r="B201" s="28"/>
      <c r="C201" s="28"/>
      <c r="D201" s="28"/>
      <c r="E201" s="28"/>
    </row>
    <row r="202" ht="15.75" customHeight="1">
      <c r="A202" s="28"/>
      <c r="B202" s="28"/>
      <c r="C202" s="28"/>
      <c r="D202" s="28"/>
      <c r="E202" s="28"/>
    </row>
    <row r="203" ht="15.75" customHeight="1">
      <c r="A203" s="28"/>
      <c r="B203" s="28"/>
      <c r="C203" s="28"/>
      <c r="D203" s="28"/>
      <c r="E203" s="28"/>
    </row>
    <row r="204" ht="15.75" customHeight="1">
      <c r="A204" s="28"/>
      <c r="B204" s="28"/>
      <c r="C204" s="28"/>
      <c r="D204" s="28"/>
      <c r="E204" s="28"/>
    </row>
    <row r="205" ht="15.75" customHeight="1">
      <c r="A205" s="28"/>
      <c r="B205" s="28"/>
      <c r="C205" s="28"/>
      <c r="D205" s="28"/>
      <c r="E205" s="28"/>
    </row>
    <row r="206" ht="15.75" customHeight="1">
      <c r="A206" s="28"/>
      <c r="B206" s="28"/>
      <c r="C206" s="28"/>
      <c r="D206" s="28"/>
      <c r="E206" s="28"/>
    </row>
    <row r="207" ht="15.75" customHeight="1">
      <c r="A207" s="28"/>
      <c r="B207" s="28"/>
      <c r="C207" s="28"/>
      <c r="D207" s="28"/>
      <c r="E207" s="28"/>
    </row>
    <row r="208" ht="15.75" customHeight="1">
      <c r="A208" s="28"/>
      <c r="B208" s="28"/>
      <c r="C208" s="28"/>
      <c r="D208" s="28"/>
      <c r="E208" s="28"/>
    </row>
    <row r="209" ht="15.75" customHeight="1">
      <c r="A209" s="28"/>
      <c r="B209" s="28"/>
      <c r="C209" s="28"/>
      <c r="D209" s="28"/>
      <c r="E209" s="28"/>
    </row>
    <row r="210" ht="15.75" customHeight="1">
      <c r="A210" s="28"/>
      <c r="B210" s="28"/>
      <c r="C210" s="28"/>
      <c r="D210" s="28"/>
      <c r="E210" s="28"/>
    </row>
    <row r="211" ht="15.75" customHeight="1">
      <c r="A211" s="28"/>
      <c r="B211" s="28"/>
      <c r="C211" s="28"/>
      <c r="D211" s="28"/>
      <c r="E211" s="28"/>
    </row>
    <row r="212" ht="15.75" customHeight="1">
      <c r="A212" s="28"/>
      <c r="B212" s="28"/>
      <c r="C212" s="28"/>
      <c r="D212" s="28"/>
      <c r="E212" s="28"/>
    </row>
    <row r="213" ht="15.75" customHeight="1">
      <c r="A213" s="28"/>
      <c r="B213" s="28"/>
      <c r="C213" s="28"/>
      <c r="D213" s="28"/>
      <c r="E213" s="28"/>
    </row>
    <row r="214" ht="15.75" customHeight="1">
      <c r="A214" s="28"/>
      <c r="B214" s="28"/>
      <c r="C214" s="28"/>
      <c r="D214" s="28"/>
      <c r="E214" s="28"/>
    </row>
    <row r="215" ht="15.75" customHeight="1">
      <c r="A215" s="28"/>
      <c r="B215" s="28"/>
      <c r="C215" s="28"/>
      <c r="D215" s="28"/>
      <c r="E215" s="28"/>
    </row>
    <row r="216" ht="15.75" customHeight="1">
      <c r="A216" s="28"/>
      <c r="B216" s="28"/>
      <c r="C216" s="28"/>
      <c r="D216" s="28"/>
      <c r="E216" s="28"/>
    </row>
    <row r="217" ht="15.75" customHeight="1">
      <c r="A217" s="28"/>
      <c r="B217" s="28"/>
      <c r="C217" s="28"/>
      <c r="D217" s="28"/>
      <c r="E217" s="28"/>
    </row>
    <row r="218" ht="15.75" customHeight="1">
      <c r="A218" s="28"/>
      <c r="B218" s="28"/>
      <c r="C218" s="28"/>
      <c r="D218" s="28"/>
      <c r="E218" s="28"/>
    </row>
    <row r="219" ht="15.75" customHeight="1">
      <c r="A219" s="28"/>
      <c r="B219" s="28"/>
      <c r="C219" s="28"/>
      <c r="D219" s="28"/>
      <c r="E219" s="28"/>
    </row>
    <row r="220" ht="15.75" customHeight="1">
      <c r="A220" s="28"/>
      <c r="B220" s="28"/>
      <c r="C220" s="28"/>
      <c r="D220" s="28"/>
      <c r="E220" s="28"/>
    </row>
    <row r="221" ht="15.75" customHeight="1">
      <c r="A221" s="28"/>
      <c r="B221" s="28"/>
      <c r="C221" s="28"/>
      <c r="D221" s="28"/>
      <c r="E221" s="28"/>
    </row>
    <row r="222" ht="15.75" customHeight="1">
      <c r="A222" s="28"/>
      <c r="B222" s="28"/>
      <c r="C222" s="28"/>
      <c r="D222" s="28"/>
      <c r="E222" s="28"/>
    </row>
    <row r="223" ht="15.75" customHeight="1">
      <c r="A223" s="28"/>
      <c r="B223" s="28"/>
      <c r="C223" s="28"/>
      <c r="D223" s="28"/>
      <c r="E223" s="28"/>
    </row>
    <row r="224" ht="15.75" customHeight="1">
      <c r="A224" s="28"/>
      <c r="B224" s="28"/>
      <c r="C224" s="28"/>
      <c r="D224" s="28"/>
      <c r="E224" s="28"/>
    </row>
    <row r="225" ht="15.75" customHeight="1">
      <c r="A225" s="28"/>
      <c r="B225" s="28"/>
      <c r="C225" s="28"/>
      <c r="D225" s="28"/>
      <c r="E225" s="28"/>
    </row>
    <row r="226" ht="15.75" customHeight="1">
      <c r="A226" s="28"/>
      <c r="B226" s="28"/>
      <c r="C226" s="28"/>
      <c r="D226" s="28"/>
      <c r="E226" s="28"/>
    </row>
    <row r="227" ht="15.75" customHeight="1">
      <c r="A227" s="28"/>
      <c r="B227" s="28"/>
      <c r="C227" s="28"/>
      <c r="D227" s="28"/>
      <c r="E227" s="28"/>
    </row>
    <row r="228" ht="15.75" customHeight="1">
      <c r="A228" s="28"/>
      <c r="B228" s="28"/>
      <c r="C228" s="28"/>
      <c r="D228" s="28"/>
      <c r="E228" s="28"/>
    </row>
    <row r="229" ht="15.75" customHeight="1">
      <c r="A229" s="28"/>
      <c r="B229" s="28"/>
      <c r="C229" s="28"/>
      <c r="D229" s="28"/>
      <c r="E229" s="28"/>
    </row>
    <row r="230" ht="15.75" customHeight="1">
      <c r="A230" s="28"/>
      <c r="B230" s="28"/>
      <c r="C230" s="28"/>
      <c r="D230" s="28"/>
      <c r="E230" s="28"/>
    </row>
    <row r="231" ht="15.75" customHeight="1">
      <c r="A231" s="28"/>
      <c r="B231" s="28"/>
      <c r="C231" s="28"/>
      <c r="D231" s="28"/>
      <c r="E231" s="28"/>
    </row>
    <row r="232" ht="15.75" customHeight="1">
      <c r="A232" s="28"/>
      <c r="B232" s="28"/>
      <c r="C232" s="28"/>
      <c r="D232" s="28"/>
      <c r="E232" s="28"/>
    </row>
    <row r="233" ht="15.75" customHeight="1">
      <c r="A233" s="28"/>
      <c r="B233" s="28"/>
      <c r="C233" s="28"/>
      <c r="D233" s="28"/>
      <c r="E233" s="28"/>
    </row>
    <row r="234" ht="15.75" customHeight="1">
      <c r="A234" s="28"/>
      <c r="B234" s="28"/>
      <c r="C234" s="28"/>
      <c r="D234" s="28"/>
      <c r="E234" s="28"/>
    </row>
    <row r="235" ht="15.75" customHeight="1">
      <c r="A235" s="28"/>
      <c r="B235" s="28"/>
      <c r="C235" s="28"/>
      <c r="D235" s="28"/>
      <c r="E235" s="28"/>
    </row>
    <row r="236" ht="15.75" customHeight="1">
      <c r="A236" s="28"/>
      <c r="B236" s="28"/>
      <c r="C236" s="28"/>
      <c r="D236" s="28"/>
      <c r="E236" s="28"/>
    </row>
    <row r="237" ht="15.75" customHeight="1">
      <c r="A237" s="28"/>
      <c r="B237" s="28"/>
      <c r="C237" s="28"/>
      <c r="D237" s="28"/>
      <c r="E237" s="28"/>
    </row>
    <row r="238" ht="15.75" customHeight="1">
      <c r="A238" s="28"/>
      <c r="B238" s="28"/>
      <c r="C238" s="28"/>
      <c r="D238" s="28"/>
      <c r="E238" s="28"/>
    </row>
    <row r="239" ht="15.75" customHeight="1">
      <c r="A239" s="28"/>
      <c r="B239" s="28"/>
      <c r="C239" s="28"/>
      <c r="D239" s="28"/>
      <c r="E239" s="28"/>
    </row>
    <row r="240" ht="15.75" customHeight="1">
      <c r="A240" s="28"/>
      <c r="B240" s="28"/>
      <c r="C240" s="28"/>
      <c r="D240" s="28"/>
      <c r="E240" s="28"/>
    </row>
    <row r="241" ht="15.75" customHeight="1">
      <c r="A241" s="28"/>
      <c r="B241" s="28"/>
      <c r="C241" s="28"/>
      <c r="D241" s="28"/>
      <c r="E241" s="28"/>
    </row>
    <row r="242" ht="15.75" customHeight="1">
      <c r="A242" s="28"/>
      <c r="B242" s="28"/>
      <c r="C242" s="28"/>
      <c r="D242" s="28"/>
      <c r="E242" s="28"/>
    </row>
    <row r="243" ht="15.75" customHeight="1">
      <c r="A243" s="28"/>
      <c r="B243" s="28"/>
      <c r="C243" s="28"/>
      <c r="D243" s="28"/>
      <c r="E243" s="28"/>
    </row>
    <row r="244" ht="15.75" customHeight="1">
      <c r="A244" s="28"/>
      <c r="B244" s="28"/>
      <c r="C244" s="28"/>
      <c r="D244" s="28"/>
      <c r="E244" s="28"/>
    </row>
    <row r="245" ht="15.75" customHeight="1">
      <c r="A245" s="28"/>
      <c r="B245" s="28"/>
      <c r="C245" s="28"/>
      <c r="D245" s="28"/>
      <c r="E245" s="28"/>
    </row>
    <row r="246" ht="15.75" customHeight="1">
      <c r="A246" s="28"/>
      <c r="B246" s="28"/>
      <c r="C246" s="28"/>
      <c r="D246" s="28"/>
      <c r="E246" s="28"/>
    </row>
    <row r="247" ht="15.75" customHeight="1">
      <c r="A247" s="28"/>
      <c r="B247" s="28"/>
      <c r="C247" s="28"/>
      <c r="D247" s="28"/>
      <c r="E247" s="28"/>
    </row>
    <row r="248" ht="15.75" customHeight="1">
      <c r="A248" s="28"/>
      <c r="B248" s="28"/>
      <c r="C248" s="28"/>
      <c r="D248" s="28"/>
      <c r="E248" s="28"/>
    </row>
    <row r="249" ht="15.75" customHeight="1">
      <c r="A249" s="28"/>
      <c r="B249" s="28"/>
      <c r="C249" s="28"/>
      <c r="D249" s="28"/>
      <c r="E249" s="28"/>
    </row>
    <row r="250" ht="15.75" customHeight="1">
      <c r="A250" s="28"/>
      <c r="B250" s="28"/>
      <c r="C250" s="28"/>
      <c r="D250" s="28"/>
      <c r="E250" s="28"/>
    </row>
    <row r="251" ht="15.75" customHeight="1">
      <c r="A251" s="28"/>
      <c r="B251" s="28"/>
      <c r="C251" s="28"/>
      <c r="D251" s="28"/>
      <c r="E251" s="28"/>
    </row>
    <row r="252" ht="15.75" customHeight="1">
      <c r="A252" s="28"/>
      <c r="B252" s="28"/>
      <c r="C252" s="28"/>
      <c r="D252" s="28"/>
      <c r="E252" s="28"/>
    </row>
    <row r="253" ht="15.75" customHeight="1">
      <c r="A253" s="28"/>
      <c r="B253" s="28"/>
      <c r="C253" s="28"/>
      <c r="D253" s="28"/>
      <c r="E253" s="28"/>
    </row>
    <row r="254" ht="15.75" customHeight="1">
      <c r="A254" s="28"/>
      <c r="B254" s="28"/>
      <c r="C254" s="28"/>
      <c r="D254" s="28"/>
      <c r="E254" s="28"/>
    </row>
    <row r="255" ht="15.75" customHeight="1">
      <c r="A255" s="28"/>
      <c r="B255" s="28"/>
      <c r="C255" s="28"/>
      <c r="D255" s="28"/>
      <c r="E255" s="28"/>
    </row>
    <row r="256" ht="15.75" customHeight="1">
      <c r="A256" s="28"/>
      <c r="B256" s="28"/>
      <c r="C256" s="28"/>
      <c r="D256" s="28"/>
      <c r="E256" s="28"/>
    </row>
    <row r="257" ht="15.75" customHeight="1">
      <c r="A257" s="28"/>
      <c r="B257" s="28"/>
      <c r="C257" s="28"/>
      <c r="D257" s="28"/>
      <c r="E257" s="28"/>
    </row>
    <row r="258" ht="15.75" customHeight="1">
      <c r="A258" s="28"/>
      <c r="B258" s="28"/>
      <c r="C258" s="28"/>
      <c r="D258" s="28"/>
      <c r="E258" s="28"/>
    </row>
    <row r="259" ht="15.75" customHeight="1">
      <c r="A259" s="28"/>
      <c r="B259" s="28"/>
      <c r="C259" s="28"/>
      <c r="D259" s="28"/>
      <c r="E259" s="28"/>
    </row>
    <row r="260" ht="15.75" customHeight="1">
      <c r="A260" s="28"/>
      <c r="B260" s="28"/>
      <c r="C260" s="28"/>
      <c r="D260" s="28"/>
      <c r="E260" s="28"/>
    </row>
    <row r="261" ht="15.75" customHeight="1">
      <c r="A261" s="28"/>
      <c r="B261" s="28"/>
      <c r="C261" s="28"/>
      <c r="D261" s="28"/>
      <c r="E261" s="28"/>
    </row>
    <row r="262" ht="15.75" customHeight="1">
      <c r="A262" s="28"/>
      <c r="B262" s="28"/>
      <c r="C262" s="28"/>
      <c r="D262" s="28"/>
      <c r="E262" s="28"/>
    </row>
    <row r="263" ht="15.75" customHeight="1">
      <c r="A263" s="28"/>
      <c r="B263" s="28"/>
      <c r="C263" s="28"/>
      <c r="D263" s="28"/>
      <c r="E263" s="28"/>
    </row>
    <row r="264" ht="15.75" customHeight="1">
      <c r="A264" s="28"/>
      <c r="B264" s="28"/>
      <c r="C264" s="28"/>
      <c r="D264" s="28"/>
      <c r="E264" s="28"/>
    </row>
    <row r="265" ht="15.75" customHeight="1">
      <c r="A265" s="28"/>
      <c r="B265" s="28"/>
      <c r="C265" s="28"/>
      <c r="D265" s="28"/>
      <c r="E265" s="28"/>
    </row>
    <row r="266" ht="15.75" customHeight="1">
      <c r="A266" s="28"/>
      <c r="B266" s="28"/>
      <c r="C266" s="28"/>
      <c r="D266" s="28"/>
      <c r="E266" s="28"/>
    </row>
    <row r="267" ht="15.75" customHeight="1">
      <c r="A267" s="28"/>
      <c r="B267" s="28"/>
      <c r="C267" s="28"/>
      <c r="D267" s="28"/>
      <c r="E267" s="28"/>
    </row>
    <row r="268" ht="15.75" customHeight="1">
      <c r="A268" s="28"/>
      <c r="B268" s="28"/>
      <c r="C268" s="28"/>
      <c r="D268" s="28"/>
      <c r="E268" s="28"/>
    </row>
    <row r="269" ht="15.75" customHeight="1">
      <c r="A269" s="28"/>
      <c r="B269" s="28"/>
      <c r="C269" s="28"/>
      <c r="D269" s="28"/>
      <c r="E269" s="28"/>
    </row>
    <row r="270" ht="15.75" customHeight="1">
      <c r="A270" s="28"/>
      <c r="B270" s="28"/>
      <c r="C270" s="28"/>
      <c r="D270" s="28"/>
      <c r="E270" s="28"/>
    </row>
    <row r="271" ht="15.75" customHeight="1">
      <c r="A271" s="28"/>
      <c r="B271" s="28"/>
      <c r="C271" s="28"/>
      <c r="D271" s="28"/>
      <c r="E271" s="28"/>
    </row>
    <row r="272" ht="15.75" customHeight="1">
      <c r="A272" s="28"/>
      <c r="B272" s="28"/>
      <c r="C272" s="28"/>
      <c r="D272" s="28"/>
      <c r="E272" s="28"/>
    </row>
    <row r="273" ht="15.75" customHeight="1">
      <c r="A273" s="28"/>
      <c r="B273" s="28"/>
      <c r="C273" s="28"/>
      <c r="D273" s="28"/>
      <c r="E273" s="28"/>
    </row>
    <row r="274" ht="15.75" customHeight="1">
      <c r="A274" s="28"/>
      <c r="B274" s="28"/>
      <c r="C274" s="28"/>
      <c r="D274" s="28"/>
      <c r="E274" s="28"/>
    </row>
    <row r="275" ht="15.75" customHeight="1">
      <c r="A275" s="28"/>
      <c r="B275" s="28"/>
      <c r="C275" s="28"/>
      <c r="D275" s="28"/>
      <c r="E275" s="28"/>
    </row>
    <row r="276" ht="15.75" customHeight="1">
      <c r="A276" s="28"/>
      <c r="B276" s="28"/>
      <c r="C276" s="28"/>
      <c r="D276" s="28"/>
      <c r="E276" s="28"/>
    </row>
    <row r="277" ht="15.75" customHeight="1">
      <c r="A277" s="28"/>
      <c r="B277" s="28"/>
      <c r="C277" s="28"/>
      <c r="D277" s="28"/>
      <c r="E277" s="28"/>
    </row>
    <row r="278" ht="15.75" customHeight="1">
      <c r="A278" s="28"/>
      <c r="B278" s="28"/>
      <c r="C278" s="28"/>
      <c r="D278" s="28"/>
      <c r="E278" s="28"/>
    </row>
    <row r="279" ht="15.75" customHeight="1">
      <c r="A279" s="28"/>
      <c r="B279" s="28"/>
      <c r="C279" s="28"/>
      <c r="D279" s="28"/>
      <c r="E279" s="28"/>
    </row>
    <row r="280" ht="15.75" customHeight="1">
      <c r="A280" s="28"/>
      <c r="B280" s="28"/>
      <c r="C280" s="28"/>
      <c r="D280" s="28"/>
      <c r="E280" s="28"/>
    </row>
    <row r="281" ht="15.75" customHeight="1">
      <c r="A281" s="28"/>
      <c r="B281" s="28"/>
      <c r="C281" s="28"/>
      <c r="D281" s="28"/>
      <c r="E281" s="28"/>
    </row>
    <row r="282" ht="15.75" customHeight="1">
      <c r="A282" s="28"/>
      <c r="B282" s="28"/>
      <c r="C282" s="28"/>
      <c r="D282" s="28"/>
      <c r="E282" s="28"/>
    </row>
    <row r="283" ht="15.75" customHeight="1">
      <c r="A283" s="28"/>
      <c r="B283" s="28"/>
      <c r="C283" s="28"/>
      <c r="D283" s="28"/>
      <c r="E283" s="28"/>
    </row>
    <row r="284" ht="15.75" customHeight="1">
      <c r="A284" s="28"/>
      <c r="B284" s="28"/>
      <c r="C284" s="28"/>
      <c r="D284" s="28"/>
      <c r="E284" s="28"/>
    </row>
    <row r="285" ht="15.75" customHeight="1">
      <c r="A285" s="28"/>
      <c r="B285" s="28"/>
      <c r="C285" s="28"/>
      <c r="D285" s="28"/>
      <c r="E285" s="28"/>
    </row>
    <row r="286" ht="15.75" customHeight="1">
      <c r="A286" s="28"/>
      <c r="B286" s="28"/>
      <c r="C286" s="28"/>
      <c r="D286" s="28"/>
      <c r="E286" s="28"/>
    </row>
    <row r="287" ht="15.75" customHeight="1">
      <c r="A287" s="28"/>
      <c r="B287" s="28"/>
      <c r="C287" s="28"/>
      <c r="D287" s="28"/>
      <c r="E287" s="28"/>
    </row>
    <row r="288" ht="15.75" customHeight="1">
      <c r="A288" s="28"/>
      <c r="B288" s="28"/>
      <c r="C288" s="28"/>
      <c r="D288" s="28"/>
      <c r="E288" s="28"/>
    </row>
    <row r="289" ht="15.75" customHeight="1">
      <c r="A289" s="28"/>
      <c r="B289" s="28"/>
      <c r="C289" s="28"/>
      <c r="D289" s="28"/>
      <c r="E289" s="28"/>
    </row>
    <row r="290" ht="15.75" customHeight="1">
      <c r="A290" s="28"/>
      <c r="B290" s="28"/>
      <c r="C290" s="28"/>
      <c r="D290" s="28"/>
      <c r="E290" s="28"/>
    </row>
    <row r="291" ht="15.75" customHeight="1">
      <c r="A291" s="28"/>
      <c r="B291" s="28"/>
      <c r="C291" s="28"/>
      <c r="D291" s="28"/>
      <c r="E291" s="28"/>
    </row>
    <row r="292" ht="15.75" customHeight="1">
      <c r="A292" s="28"/>
      <c r="B292" s="28"/>
      <c r="C292" s="28"/>
      <c r="D292" s="28"/>
      <c r="E292" s="28"/>
    </row>
    <row r="293" ht="15.75" customHeight="1">
      <c r="A293" s="28"/>
      <c r="B293" s="28"/>
      <c r="C293" s="28"/>
      <c r="D293" s="28"/>
      <c r="E293" s="28"/>
    </row>
    <row r="294" ht="15.75" customHeight="1">
      <c r="A294" s="28"/>
      <c r="B294" s="28"/>
      <c r="C294" s="28"/>
      <c r="D294" s="28"/>
      <c r="E294" s="28"/>
    </row>
    <row r="295" ht="15.75" customHeight="1">
      <c r="A295" s="28"/>
      <c r="B295" s="28"/>
      <c r="C295" s="28"/>
      <c r="D295" s="28"/>
      <c r="E295" s="28"/>
    </row>
    <row r="296" ht="15.75" customHeight="1">
      <c r="A296" s="28"/>
      <c r="B296" s="28"/>
      <c r="C296" s="28"/>
      <c r="D296" s="28"/>
      <c r="E296" s="28"/>
    </row>
    <row r="297" ht="15.75" customHeight="1">
      <c r="A297" s="28"/>
      <c r="B297" s="28"/>
      <c r="C297" s="28"/>
      <c r="D297" s="28"/>
      <c r="E297" s="28"/>
    </row>
    <row r="298" ht="15.75" customHeight="1">
      <c r="A298" s="28"/>
      <c r="B298" s="28"/>
      <c r="C298" s="28"/>
      <c r="D298" s="28"/>
      <c r="E298" s="28"/>
    </row>
    <row r="299" ht="15.75" customHeight="1">
      <c r="A299" s="28"/>
      <c r="B299" s="28"/>
      <c r="C299" s="28"/>
      <c r="D299" s="28"/>
      <c r="E299" s="28"/>
    </row>
    <row r="300" ht="15.75" customHeight="1">
      <c r="A300" s="28"/>
      <c r="B300" s="28"/>
      <c r="C300" s="28"/>
      <c r="D300" s="28"/>
      <c r="E300" s="28"/>
    </row>
    <row r="301" ht="15.75" customHeight="1">
      <c r="A301" s="28"/>
      <c r="B301" s="28"/>
      <c r="C301" s="28"/>
      <c r="D301" s="28"/>
      <c r="E301" s="28"/>
    </row>
    <row r="302" ht="15.75" customHeight="1">
      <c r="A302" s="28"/>
      <c r="B302" s="28"/>
      <c r="C302" s="28"/>
      <c r="D302" s="28"/>
      <c r="E302" s="28"/>
    </row>
    <row r="303" ht="15.75" customHeight="1">
      <c r="A303" s="28"/>
      <c r="B303" s="28"/>
      <c r="C303" s="28"/>
      <c r="D303" s="28"/>
      <c r="E303" s="28"/>
    </row>
    <row r="304" ht="15.75" customHeight="1">
      <c r="A304" s="28"/>
      <c r="B304" s="28"/>
      <c r="C304" s="28"/>
      <c r="D304" s="28"/>
      <c r="E304" s="28"/>
    </row>
    <row r="305" ht="15.75" customHeight="1">
      <c r="A305" s="28"/>
      <c r="B305" s="28"/>
      <c r="C305" s="28"/>
      <c r="D305" s="28"/>
      <c r="E305" s="28"/>
    </row>
    <row r="306" ht="15.75" customHeight="1">
      <c r="A306" s="28"/>
      <c r="B306" s="28"/>
      <c r="C306" s="28"/>
      <c r="D306" s="28"/>
      <c r="E306" s="28"/>
    </row>
    <row r="307" ht="15.75" customHeight="1">
      <c r="A307" s="28"/>
      <c r="B307" s="28"/>
      <c r="C307" s="28"/>
      <c r="D307" s="28"/>
      <c r="E307" s="28"/>
    </row>
    <row r="308" ht="15.75" customHeight="1">
      <c r="A308" s="28"/>
      <c r="B308" s="28"/>
      <c r="C308" s="28"/>
      <c r="D308" s="28"/>
      <c r="E308" s="28"/>
    </row>
    <row r="309" ht="15.75" customHeight="1">
      <c r="A309" s="28"/>
      <c r="B309" s="28"/>
      <c r="C309" s="28"/>
      <c r="D309" s="28"/>
      <c r="E309" s="28"/>
    </row>
    <row r="310" ht="15.75" customHeight="1">
      <c r="A310" s="28"/>
      <c r="B310" s="28"/>
      <c r="C310" s="28"/>
      <c r="D310" s="28"/>
      <c r="E310" s="28"/>
    </row>
    <row r="311" ht="15.75" customHeight="1">
      <c r="A311" s="28"/>
      <c r="B311" s="28"/>
      <c r="C311" s="28"/>
      <c r="D311" s="28"/>
      <c r="E311" s="28"/>
    </row>
    <row r="312" ht="15.75" customHeight="1">
      <c r="A312" s="28"/>
      <c r="B312" s="28"/>
      <c r="C312" s="28"/>
      <c r="D312" s="28"/>
      <c r="E312" s="28"/>
    </row>
    <row r="313" ht="15.75" customHeight="1">
      <c r="A313" s="28"/>
      <c r="B313" s="28"/>
      <c r="C313" s="28"/>
      <c r="D313" s="28"/>
      <c r="E313" s="28"/>
    </row>
    <row r="314" ht="15.75" customHeight="1">
      <c r="A314" s="28"/>
      <c r="B314" s="28"/>
      <c r="C314" s="28"/>
      <c r="D314" s="28"/>
      <c r="E314" s="28"/>
    </row>
    <row r="315" ht="15.75" customHeight="1">
      <c r="A315" s="28"/>
      <c r="B315" s="28"/>
      <c r="C315" s="28"/>
      <c r="D315" s="28"/>
      <c r="E315" s="28"/>
    </row>
    <row r="316" ht="15.75" customHeight="1">
      <c r="A316" s="28"/>
      <c r="B316" s="28"/>
      <c r="C316" s="28"/>
      <c r="D316" s="28"/>
      <c r="E316" s="28"/>
    </row>
    <row r="317" ht="15.75" customHeight="1">
      <c r="A317" s="28"/>
      <c r="B317" s="28"/>
      <c r="C317" s="28"/>
      <c r="D317" s="28"/>
      <c r="E317" s="28"/>
    </row>
    <row r="318" ht="15.75" customHeight="1">
      <c r="A318" s="28"/>
      <c r="B318" s="28"/>
      <c r="C318" s="28"/>
      <c r="D318" s="28"/>
      <c r="E318" s="28"/>
    </row>
    <row r="319" ht="15.75" customHeight="1">
      <c r="A319" s="28"/>
      <c r="B319" s="28"/>
      <c r="C319" s="28"/>
      <c r="D319" s="28"/>
      <c r="E319" s="28"/>
    </row>
    <row r="320" ht="15.75" customHeight="1">
      <c r="A320" s="28"/>
      <c r="B320" s="28"/>
      <c r="C320" s="28"/>
      <c r="D320" s="28"/>
      <c r="E320" s="28"/>
    </row>
    <row r="321" ht="15.75" customHeight="1">
      <c r="A321" s="28"/>
      <c r="B321" s="28"/>
      <c r="C321" s="28"/>
      <c r="D321" s="28"/>
      <c r="E321" s="28"/>
    </row>
    <row r="322" ht="15.75" customHeight="1">
      <c r="A322" s="28"/>
      <c r="B322" s="28"/>
      <c r="C322" s="28"/>
      <c r="D322" s="28"/>
      <c r="E322" s="28"/>
    </row>
    <row r="323" ht="15.75" customHeight="1">
      <c r="A323" s="28"/>
      <c r="B323" s="28"/>
      <c r="C323" s="28"/>
      <c r="D323" s="28"/>
      <c r="E323" s="28"/>
    </row>
    <row r="324" ht="15.75" customHeight="1">
      <c r="A324" s="28"/>
      <c r="B324" s="28"/>
      <c r="C324" s="28"/>
      <c r="D324" s="28"/>
      <c r="E324" s="28"/>
    </row>
    <row r="325" ht="15.75" customHeight="1">
      <c r="A325" s="28"/>
      <c r="B325" s="28"/>
      <c r="C325" s="28"/>
      <c r="D325" s="28"/>
      <c r="E325" s="28"/>
    </row>
    <row r="326" ht="15.75" customHeight="1">
      <c r="A326" s="28"/>
      <c r="B326" s="28"/>
      <c r="C326" s="28"/>
      <c r="D326" s="28"/>
      <c r="E326" s="28"/>
    </row>
    <row r="327" ht="15.75" customHeight="1">
      <c r="A327" s="28"/>
      <c r="B327" s="28"/>
      <c r="C327" s="28"/>
      <c r="D327" s="28"/>
      <c r="E327" s="28"/>
    </row>
    <row r="328" ht="15.75" customHeight="1">
      <c r="A328" s="28"/>
      <c r="B328" s="28"/>
      <c r="C328" s="28"/>
      <c r="D328" s="28"/>
      <c r="E328" s="28"/>
    </row>
    <row r="329" ht="15.75" customHeight="1">
      <c r="A329" s="28"/>
      <c r="B329" s="28"/>
      <c r="C329" s="28"/>
      <c r="D329" s="28"/>
      <c r="E329" s="28"/>
    </row>
    <row r="330" ht="15.75" customHeight="1">
      <c r="A330" s="28"/>
      <c r="B330" s="28"/>
      <c r="C330" s="28"/>
      <c r="D330" s="28"/>
      <c r="E330" s="28"/>
    </row>
    <row r="331" ht="15.75" customHeight="1">
      <c r="A331" s="28"/>
      <c r="B331" s="28"/>
      <c r="C331" s="28"/>
      <c r="D331" s="28"/>
      <c r="E331" s="28"/>
    </row>
    <row r="332" ht="15.75" customHeight="1">
      <c r="A332" s="28"/>
      <c r="B332" s="28"/>
      <c r="C332" s="28"/>
      <c r="D332" s="28"/>
      <c r="E332" s="28"/>
    </row>
    <row r="333" ht="15.75" customHeight="1">
      <c r="A333" s="28"/>
      <c r="B333" s="28"/>
      <c r="C333" s="28"/>
      <c r="D333" s="28"/>
      <c r="E333" s="28"/>
    </row>
    <row r="334" ht="15.75" customHeight="1">
      <c r="A334" s="28"/>
      <c r="B334" s="28"/>
      <c r="C334" s="28"/>
      <c r="D334" s="28"/>
      <c r="E334" s="28"/>
    </row>
    <row r="335" ht="15.75" customHeight="1">
      <c r="A335" s="28"/>
      <c r="B335" s="28"/>
      <c r="C335" s="28"/>
      <c r="D335" s="28"/>
      <c r="E335" s="28"/>
    </row>
    <row r="336" ht="15.75" customHeight="1">
      <c r="A336" s="28"/>
      <c r="B336" s="28"/>
      <c r="C336" s="28"/>
      <c r="D336" s="28"/>
      <c r="E336" s="28"/>
    </row>
    <row r="337" ht="15.75" customHeight="1">
      <c r="A337" s="28"/>
      <c r="B337" s="28"/>
      <c r="C337" s="28"/>
      <c r="D337" s="28"/>
      <c r="E337" s="28"/>
    </row>
    <row r="338" ht="15.75" customHeight="1">
      <c r="A338" s="28"/>
      <c r="B338" s="28"/>
      <c r="C338" s="28"/>
      <c r="D338" s="28"/>
      <c r="E338" s="28"/>
    </row>
    <row r="339" ht="15.75" customHeight="1">
      <c r="A339" s="28"/>
      <c r="B339" s="28"/>
      <c r="C339" s="28"/>
      <c r="D339" s="28"/>
      <c r="E339" s="28"/>
    </row>
    <row r="340" ht="15.75" customHeight="1">
      <c r="A340" s="28"/>
      <c r="B340" s="28"/>
      <c r="C340" s="28"/>
      <c r="D340" s="28"/>
      <c r="E340" s="28"/>
    </row>
    <row r="341" ht="15.75" customHeight="1">
      <c r="A341" s="28"/>
      <c r="B341" s="28"/>
      <c r="C341" s="28"/>
      <c r="D341" s="28"/>
      <c r="E341" s="28"/>
    </row>
    <row r="342" ht="15.75" customHeight="1">
      <c r="A342" s="28"/>
      <c r="B342" s="28"/>
      <c r="C342" s="28"/>
      <c r="D342" s="28"/>
      <c r="E342" s="28"/>
    </row>
    <row r="343" ht="15.75" customHeight="1">
      <c r="A343" s="28"/>
      <c r="B343" s="28"/>
      <c r="C343" s="28"/>
      <c r="D343" s="28"/>
      <c r="E343" s="28"/>
    </row>
    <row r="344" ht="15.75" customHeight="1">
      <c r="A344" s="28"/>
      <c r="B344" s="28"/>
      <c r="C344" s="28"/>
      <c r="D344" s="28"/>
      <c r="E344" s="28"/>
    </row>
    <row r="345" ht="15.75" customHeight="1">
      <c r="A345" s="28"/>
      <c r="B345" s="28"/>
      <c r="C345" s="28"/>
      <c r="D345" s="28"/>
      <c r="E345" s="28"/>
    </row>
    <row r="346" ht="15.75" customHeight="1">
      <c r="A346" s="28"/>
      <c r="B346" s="28"/>
      <c r="C346" s="28"/>
      <c r="D346" s="28"/>
      <c r="E346" s="28"/>
    </row>
    <row r="347" ht="15.75" customHeight="1">
      <c r="A347" s="28"/>
      <c r="B347" s="28"/>
      <c r="C347" s="28"/>
      <c r="D347" s="28"/>
      <c r="E347" s="28"/>
    </row>
    <row r="348" ht="15.75" customHeight="1">
      <c r="A348" s="28"/>
      <c r="B348" s="28"/>
      <c r="C348" s="28"/>
      <c r="D348" s="28"/>
      <c r="E348" s="28"/>
    </row>
    <row r="349" ht="15.75" customHeight="1">
      <c r="A349" s="28"/>
      <c r="B349" s="28"/>
      <c r="C349" s="28"/>
      <c r="D349" s="28"/>
      <c r="E349" s="28"/>
    </row>
    <row r="350" ht="15.75" customHeight="1">
      <c r="A350" s="28"/>
      <c r="B350" s="28"/>
      <c r="C350" s="28"/>
      <c r="D350" s="28"/>
      <c r="E350" s="28"/>
    </row>
    <row r="351" ht="15.75" customHeight="1">
      <c r="A351" s="28"/>
      <c r="B351" s="28"/>
      <c r="C351" s="28"/>
      <c r="D351" s="28"/>
      <c r="E351" s="28"/>
    </row>
    <row r="352" ht="15.75" customHeight="1">
      <c r="A352" s="28"/>
      <c r="B352" s="28"/>
      <c r="C352" s="28"/>
      <c r="D352" s="28"/>
      <c r="E352" s="28"/>
    </row>
    <row r="353" ht="15.75" customHeight="1">
      <c r="A353" s="28"/>
      <c r="B353" s="28"/>
      <c r="C353" s="28"/>
      <c r="D353" s="28"/>
      <c r="E353" s="28"/>
    </row>
    <row r="354" ht="15.75" customHeight="1">
      <c r="A354" s="28"/>
      <c r="B354" s="28"/>
      <c r="C354" s="28"/>
      <c r="D354" s="28"/>
      <c r="E354" s="28"/>
    </row>
    <row r="355" ht="15.75" customHeight="1">
      <c r="A355" s="28"/>
      <c r="B355" s="28"/>
      <c r="C355" s="28"/>
      <c r="D355" s="28"/>
      <c r="E355" s="28"/>
    </row>
    <row r="356" ht="15.75" customHeight="1">
      <c r="A356" s="28"/>
      <c r="B356" s="28"/>
      <c r="C356" s="28"/>
      <c r="D356" s="28"/>
      <c r="E356" s="28"/>
    </row>
    <row r="357" ht="15.75" customHeight="1">
      <c r="A357" s="28"/>
      <c r="B357" s="28"/>
      <c r="C357" s="28"/>
      <c r="D357" s="28"/>
      <c r="E357" s="28"/>
    </row>
    <row r="358" ht="15.75" customHeight="1">
      <c r="A358" s="28"/>
      <c r="B358" s="28"/>
      <c r="C358" s="28"/>
      <c r="D358" s="28"/>
      <c r="E358" s="28"/>
    </row>
    <row r="359" ht="15.75" customHeight="1">
      <c r="A359" s="28"/>
      <c r="B359" s="28"/>
      <c r="C359" s="28"/>
      <c r="D359" s="28"/>
      <c r="E359" s="28"/>
    </row>
    <row r="360" ht="15.75" customHeight="1">
      <c r="A360" s="28"/>
      <c r="B360" s="28"/>
      <c r="C360" s="28"/>
      <c r="D360" s="28"/>
      <c r="E360" s="28"/>
    </row>
    <row r="361" ht="15.75" customHeight="1">
      <c r="A361" s="28"/>
      <c r="B361" s="28"/>
      <c r="C361" s="28"/>
      <c r="D361" s="28"/>
      <c r="E361" s="28"/>
    </row>
    <row r="362" ht="15.75" customHeight="1">
      <c r="A362" s="28"/>
      <c r="B362" s="28"/>
      <c r="C362" s="28"/>
      <c r="D362" s="28"/>
      <c r="E362" s="28"/>
    </row>
    <row r="363" ht="15.75" customHeight="1">
      <c r="A363" s="28"/>
      <c r="B363" s="28"/>
      <c r="C363" s="28"/>
      <c r="D363" s="28"/>
      <c r="E363" s="28"/>
    </row>
    <row r="364" ht="15.75" customHeight="1">
      <c r="A364" s="28"/>
      <c r="B364" s="28"/>
      <c r="C364" s="28"/>
      <c r="D364" s="28"/>
      <c r="E364" s="28"/>
    </row>
    <row r="365" ht="15.75" customHeight="1">
      <c r="A365" s="28"/>
      <c r="B365" s="28"/>
      <c r="C365" s="28"/>
      <c r="D365" s="28"/>
      <c r="E365" s="28"/>
    </row>
    <row r="366" ht="15.75" customHeight="1">
      <c r="A366" s="28"/>
      <c r="B366" s="28"/>
      <c r="C366" s="28"/>
      <c r="D366" s="28"/>
      <c r="E366" s="28"/>
    </row>
    <row r="367" ht="15.75" customHeight="1">
      <c r="A367" s="28"/>
      <c r="B367" s="28"/>
      <c r="C367" s="28"/>
      <c r="D367" s="28"/>
      <c r="E367" s="28"/>
    </row>
    <row r="368" ht="15.75" customHeight="1">
      <c r="A368" s="28"/>
      <c r="B368" s="28"/>
      <c r="C368" s="28"/>
      <c r="D368" s="28"/>
      <c r="E368" s="28"/>
    </row>
    <row r="369" ht="15.75" customHeight="1">
      <c r="A369" s="28"/>
      <c r="B369" s="28"/>
      <c r="C369" s="28"/>
      <c r="D369" s="28"/>
      <c r="E369" s="28"/>
    </row>
    <row r="370" ht="15.75" customHeight="1">
      <c r="A370" s="28"/>
      <c r="B370" s="28"/>
      <c r="C370" s="28"/>
      <c r="D370" s="28"/>
      <c r="E370" s="28"/>
    </row>
    <row r="371" ht="15.75" customHeight="1">
      <c r="A371" s="28"/>
      <c r="B371" s="28"/>
      <c r="C371" s="28"/>
      <c r="D371" s="28"/>
      <c r="E371" s="28"/>
    </row>
    <row r="372" ht="15.75" customHeight="1">
      <c r="A372" s="28"/>
      <c r="B372" s="28"/>
      <c r="C372" s="28"/>
      <c r="D372" s="28"/>
      <c r="E372" s="28"/>
    </row>
    <row r="373" ht="15.75" customHeight="1">
      <c r="A373" s="28"/>
      <c r="B373" s="28"/>
      <c r="C373" s="28"/>
      <c r="D373" s="28"/>
      <c r="E373" s="28"/>
    </row>
    <row r="374" ht="15.75" customHeight="1">
      <c r="A374" s="28"/>
      <c r="B374" s="28"/>
      <c r="C374" s="28"/>
      <c r="D374" s="28"/>
      <c r="E374" s="28"/>
    </row>
    <row r="375" ht="15.75" customHeight="1">
      <c r="A375" s="28"/>
      <c r="B375" s="28"/>
      <c r="C375" s="28"/>
      <c r="D375" s="28"/>
      <c r="E375" s="28"/>
    </row>
    <row r="376" ht="15.75" customHeight="1">
      <c r="A376" s="28"/>
      <c r="B376" s="28"/>
      <c r="C376" s="28"/>
      <c r="D376" s="28"/>
      <c r="E376" s="28"/>
    </row>
    <row r="377" ht="15.75" customHeight="1">
      <c r="A377" s="28"/>
      <c r="B377" s="28"/>
      <c r="C377" s="28"/>
      <c r="D377" s="28"/>
      <c r="E377" s="28"/>
    </row>
    <row r="378" ht="15.75" customHeight="1">
      <c r="A378" s="28"/>
      <c r="B378" s="28"/>
      <c r="C378" s="28"/>
      <c r="D378" s="28"/>
      <c r="E378" s="28"/>
    </row>
    <row r="379" ht="15.75" customHeight="1">
      <c r="A379" s="28"/>
      <c r="B379" s="28"/>
      <c r="C379" s="28"/>
      <c r="D379" s="28"/>
      <c r="E379" s="28"/>
    </row>
    <row r="380" ht="15.75" customHeight="1">
      <c r="A380" s="28"/>
      <c r="B380" s="28"/>
      <c r="C380" s="28"/>
      <c r="D380" s="28"/>
      <c r="E380" s="28"/>
    </row>
    <row r="381" ht="15.75" customHeight="1">
      <c r="A381" s="28"/>
      <c r="B381" s="28"/>
      <c r="C381" s="28"/>
      <c r="D381" s="28"/>
      <c r="E381" s="28"/>
    </row>
    <row r="382" ht="15.75" customHeight="1">
      <c r="A382" s="28"/>
      <c r="B382" s="28"/>
      <c r="C382" s="28"/>
      <c r="D382" s="28"/>
      <c r="E382" s="28"/>
    </row>
    <row r="383" ht="15.75" customHeight="1">
      <c r="A383" s="28"/>
      <c r="B383" s="28"/>
      <c r="C383" s="28"/>
      <c r="D383" s="28"/>
      <c r="E383" s="28"/>
    </row>
    <row r="384" ht="15.75" customHeight="1">
      <c r="A384" s="28"/>
      <c r="B384" s="28"/>
      <c r="C384" s="28"/>
      <c r="D384" s="28"/>
      <c r="E384" s="28"/>
    </row>
    <row r="385" ht="15.75" customHeight="1">
      <c r="A385" s="28"/>
      <c r="B385" s="28"/>
      <c r="C385" s="28"/>
      <c r="D385" s="28"/>
      <c r="E385" s="28"/>
    </row>
    <row r="386" ht="15.75" customHeight="1">
      <c r="A386" s="28"/>
      <c r="B386" s="28"/>
      <c r="C386" s="28"/>
      <c r="D386" s="28"/>
      <c r="E386" s="28"/>
    </row>
    <row r="387" ht="15.75" customHeight="1">
      <c r="A387" s="28"/>
      <c r="B387" s="28"/>
      <c r="C387" s="28"/>
      <c r="D387" s="28"/>
      <c r="E387" s="28"/>
    </row>
    <row r="388" ht="15.75" customHeight="1">
      <c r="A388" s="28"/>
      <c r="B388" s="28"/>
      <c r="C388" s="28"/>
      <c r="D388" s="28"/>
      <c r="E388" s="28"/>
    </row>
    <row r="389" ht="15.75" customHeight="1">
      <c r="A389" s="28"/>
      <c r="B389" s="28"/>
      <c r="C389" s="28"/>
      <c r="D389" s="28"/>
      <c r="E389" s="28"/>
    </row>
    <row r="390" ht="15.75" customHeight="1">
      <c r="A390" s="28"/>
      <c r="B390" s="28"/>
      <c r="C390" s="28"/>
      <c r="D390" s="28"/>
      <c r="E390" s="28"/>
    </row>
    <row r="391" ht="15.75" customHeight="1">
      <c r="A391" s="28"/>
      <c r="B391" s="28"/>
      <c r="C391" s="28"/>
      <c r="D391" s="28"/>
      <c r="E391" s="28"/>
    </row>
    <row r="392" ht="15.75" customHeight="1">
      <c r="A392" s="28"/>
      <c r="B392" s="28"/>
      <c r="C392" s="28"/>
      <c r="D392" s="28"/>
      <c r="E392" s="28"/>
    </row>
    <row r="393" ht="15.75" customHeight="1">
      <c r="A393" s="28"/>
      <c r="B393" s="28"/>
      <c r="C393" s="28"/>
      <c r="D393" s="28"/>
      <c r="E393" s="28"/>
    </row>
    <row r="394" ht="15.75" customHeight="1">
      <c r="A394" s="28"/>
      <c r="B394" s="28"/>
      <c r="C394" s="28"/>
      <c r="D394" s="28"/>
      <c r="E394" s="28"/>
    </row>
    <row r="395" ht="15.75" customHeight="1">
      <c r="A395" s="28"/>
      <c r="B395" s="28"/>
      <c r="C395" s="28"/>
      <c r="D395" s="28"/>
      <c r="E395" s="28"/>
    </row>
    <row r="396" ht="15.75" customHeight="1">
      <c r="A396" s="28"/>
      <c r="B396" s="28"/>
      <c r="C396" s="28"/>
      <c r="D396" s="28"/>
      <c r="E396" s="28"/>
    </row>
    <row r="397" ht="15.75" customHeight="1">
      <c r="A397" s="28"/>
      <c r="B397" s="28"/>
      <c r="C397" s="28"/>
      <c r="D397" s="28"/>
      <c r="E397" s="28"/>
    </row>
    <row r="398" ht="15.75" customHeight="1">
      <c r="A398" s="28"/>
      <c r="B398" s="28"/>
      <c r="C398" s="28"/>
      <c r="D398" s="28"/>
      <c r="E398" s="28"/>
    </row>
    <row r="399" ht="15.75" customHeight="1">
      <c r="A399" s="28"/>
      <c r="B399" s="28"/>
      <c r="C399" s="28"/>
      <c r="D399" s="28"/>
      <c r="E399" s="28"/>
    </row>
    <row r="400" ht="15.75" customHeight="1">
      <c r="A400" s="28"/>
      <c r="B400" s="28"/>
      <c r="C400" s="28"/>
      <c r="D400" s="28"/>
      <c r="E400" s="28"/>
    </row>
    <row r="401" ht="15.75" customHeight="1">
      <c r="A401" s="28"/>
      <c r="B401" s="28"/>
      <c r="C401" s="28"/>
      <c r="D401" s="28"/>
      <c r="E401" s="28"/>
    </row>
    <row r="402" ht="15.75" customHeight="1">
      <c r="A402" s="28"/>
      <c r="B402" s="28"/>
      <c r="C402" s="28"/>
      <c r="D402" s="28"/>
      <c r="E402" s="28"/>
    </row>
    <row r="403" ht="15.75" customHeight="1">
      <c r="A403" s="28"/>
      <c r="B403" s="28"/>
      <c r="C403" s="28"/>
      <c r="D403" s="28"/>
      <c r="E403" s="28"/>
    </row>
    <row r="404" ht="15.75" customHeight="1">
      <c r="A404" s="28"/>
      <c r="B404" s="28"/>
      <c r="C404" s="28"/>
      <c r="D404" s="28"/>
      <c r="E404" s="28"/>
    </row>
    <row r="405" ht="15.75" customHeight="1">
      <c r="A405" s="28"/>
      <c r="B405" s="28"/>
      <c r="C405" s="28"/>
      <c r="D405" s="28"/>
      <c r="E405" s="28"/>
    </row>
    <row r="406" ht="15.75" customHeight="1">
      <c r="A406" s="28"/>
      <c r="B406" s="28"/>
      <c r="C406" s="28"/>
      <c r="D406" s="28"/>
      <c r="E406" s="28"/>
    </row>
    <row r="407" ht="15.75" customHeight="1">
      <c r="A407" s="28"/>
      <c r="B407" s="28"/>
      <c r="C407" s="28"/>
      <c r="D407" s="28"/>
      <c r="E407" s="28"/>
    </row>
    <row r="408" ht="15.75" customHeight="1">
      <c r="A408" s="28"/>
      <c r="B408" s="28"/>
      <c r="C408" s="28"/>
      <c r="D408" s="28"/>
      <c r="E408" s="28"/>
    </row>
    <row r="409" ht="15.75" customHeight="1">
      <c r="A409" s="28"/>
      <c r="B409" s="28"/>
      <c r="C409" s="28"/>
      <c r="D409" s="28"/>
      <c r="E409" s="28"/>
    </row>
    <row r="410" ht="15.75" customHeight="1">
      <c r="A410" s="28"/>
      <c r="B410" s="28"/>
      <c r="C410" s="28"/>
      <c r="D410" s="28"/>
      <c r="E410" s="28"/>
    </row>
    <row r="411" ht="15.75" customHeight="1">
      <c r="A411" s="28"/>
      <c r="B411" s="28"/>
      <c r="C411" s="28"/>
      <c r="D411" s="28"/>
      <c r="E411" s="28"/>
    </row>
    <row r="412" ht="15.75" customHeight="1">
      <c r="A412" s="28"/>
      <c r="B412" s="28"/>
      <c r="C412" s="28"/>
      <c r="D412" s="28"/>
      <c r="E412" s="28"/>
    </row>
    <row r="413" ht="15.75" customHeight="1">
      <c r="A413" s="28"/>
      <c r="B413" s="28"/>
      <c r="C413" s="28"/>
      <c r="D413" s="28"/>
      <c r="E413" s="28"/>
    </row>
    <row r="414" ht="15.75" customHeight="1">
      <c r="A414" s="28"/>
      <c r="B414" s="28"/>
      <c r="C414" s="28"/>
      <c r="D414" s="28"/>
      <c r="E414" s="28"/>
    </row>
    <row r="415" ht="15.75" customHeight="1">
      <c r="A415" s="28"/>
      <c r="B415" s="28"/>
      <c r="C415" s="28"/>
      <c r="D415" s="28"/>
      <c r="E415" s="28"/>
    </row>
    <row r="416" ht="15.75" customHeight="1">
      <c r="A416" s="28"/>
      <c r="B416" s="28"/>
      <c r="C416" s="28"/>
      <c r="D416" s="28"/>
      <c r="E416" s="28"/>
    </row>
    <row r="417" ht="15.75" customHeight="1">
      <c r="A417" s="28"/>
      <c r="B417" s="28"/>
      <c r="C417" s="28"/>
      <c r="D417" s="28"/>
      <c r="E417" s="28"/>
    </row>
    <row r="418" ht="15.75" customHeight="1">
      <c r="A418" s="28"/>
      <c r="B418" s="28"/>
      <c r="C418" s="28"/>
      <c r="D418" s="28"/>
      <c r="E418" s="28"/>
    </row>
    <row r="419" ht="15.75" customHeight="1">
      <c r="A419" s="28"/>
      <c r="B419" s="28"/>
      <c r="C419" s="28"/>
      <c r="D419" s="28"/>
      <c r="E419" s="28"/>
    </row>
    <row r="420" ht="15.75" customHeight="1">
      <c r="A420" s="28"/>
      <c r="B420" s="28"/>
      <c r="C420" s="28"/>
      <c r="D420" s="28"/>
      <c r="E420" s="28"/>
    </row>
    <row r="421" ht="15.75" customHeight="1">
      <c r="A421" s="28"/>
      <c r="B421" s="28"/>
      <c r="C421" s="28"/>
      <c r="D421" s="28"/>
      <c r="E421" s="28"/>
    </row>
    <row r="422" ht="15.75" customHeight="1">
      <c r="A422" s="28"/>
      <c r="B422" s="28"/>
      <c r="C422" s="28"/>
      <c r="D422" s="28"/>
      <c r="E422" s="28"/>
    </row>
    <row r="423" ht="15.75" customHeight="1">
      <c r="A423" s="28"/>
      <c r="B423" s="28"/>
      <c r="C423" s="28"/>
      <c r="D423" s="28"/>
      <c r="E423" s="28"/>
    </row>
    <row r="424" ht="15.75" customHeight="1">
      <c r="A424" s="28"/>
      <c r="B424" s="28"/>
      <c r="C424" s="28"/>
      <c r="D424" s="28"/>
      <c r="E424" s="28"/>
    </row>
    <row r="425" ht="15.75" customHeight="1">
      <c r="A425" s="28"/>
      <c r="B425" s="28"/>
      <c r="C425" s="28"/>
      <c r="D425" s="28"/>
      <c r="E425" s="28"/>
    </row>
    <row r="426" ht="15.75" customHeight="1">
      <c r="A426" s="28"/>
      <c r="B426" s="28"/>
      <c r="C426" s="28"/>
      <c r="D426" s="28"/>
      <c r="E426" s="28"/>
    </row>
    <row r="427" ht="15.75" customHeight="1">
      <c r="A427" s="28"/>
      <c r="B427" s="28"/>
      <c r="C427" s="28"/>
      <c r="D427" s="28"/>
      <c r="E427" s="28"/>
    </row>
    <row r="428" ht="15.75" customHeight="1">
      <c r="A428" s="28"/>
      <c r="B428" s="28"/>
      <c r="C428" s="28"/>
      <c r="D428" s="28"/>
      <c r="E428" s="28"/>
    </row>
    <row r="429" ht="15.75" customHeight="1">
      <c r="A429" s="28"/>
      <c r="B429" s="28"/>
      <c r="C429" s="28"/>
      <c r="D429" s="28"/>
      <c r="E429" s="28"/>
    </row>
    <row r="430" ht="15.75" customHeight="1">
      <c r="A430" s="28"/>
      <c r="B430" s="28"/>
      <c r="C430" s="28"/>
      <c r="D430" s="28"/>
      <c r="E430" s="28"/>
    </row>
    <row r="431" ht="15.75" customHeight="1">
      <c r="A431" s="28"/>
      <c r="B431" s="28"/>
      <c r="C431" s="28"/>
      <c r="D431" s="28"/>
      <c r="E431" s="28"/>
    </row>
    <row r="432" ht="15.75" customHeight="1">
      <c r="A432" s="28"/>
      <c r="B432" s="28"/>
      <c r="C432" s="28"/>
      <c r="D432" s="28"/>
      <c r="E432" s="28"/>
    </row>
    <row r="433" ht="15.75" customHeight="1">
      <c r="A433" s="28"/>
      <c r="B433" s="28"/>
      <c r="C433" s="28"/>
      <c r="D433" s="28"/>
      <c r="E433" s="28"/>
    </row>
    <row r="434" ht="15.75" customHeight="1">
      <c r="A434" s="28"/>
      <c r="B434" s="28"/>
      <c r="C434" s="28"/>
      <c r="D434" s="28"/>
      <c r="E434" s="28"/>
    </row>
    <row r="435" ht="15.75" customHeight="1">
      <c r="A435" s="28"/>
      <c r="B435" s="28"/>
      <c r="C435" s="28"/>
      <c r="D435" s="28"/>
      <c r="E435" s="28"/>
    </row>
    <row r="436" ht="15.75" customHeight="1">
      <c r="A436" s="28"/>
      <c r="B436" s="28"/>
      <c r="C436" s="28"/>
      <c r="D436" s="28"/>
      <c r="E436" s="28"/>
    </row>
    <row r="437" ht="15.75" customHeight="1">
      <c r="A437" s="28"/>
      <c r="B437" s="28"/>
      <c r="C437" s="28"/>
      <c r="D437" s="28"/>
      <c r="E437" s="28"/>
    </row>
    <row r="438" ht="15.75" customHeight="1">
      <c r="A438" s="28"/>
      <c r="B438" s="28"/>
      <c r="C438" s="28"/>
      <c r="D438" s="28"/>
      <c r="E438" s="28"/>
    </row>
    <row r="439" ht="15.75" customHeight="1">
      <c r="A439" s="28"/>
      <c r="B439" s="28"/>
      <c r="C439" s="28"/>
      <c r="D439" s="28"/>
      <c r="E439" s="28"/>
    </row>
    <row r="440" ht="15.75" customHeight="1">
      <c r="A440" s="28"/>
      <c r="B440" s="28"/>
      <c r="C440" s="28"/>
      <c r="D440" s="28"/>
      <c r="E440" s="28"/>
    </row>
    <row r="441" ht="15.75" customHeight="1">
      <c r="A441" s="28"/>
      <c r="B441" s="28"/>
      <c r="C441" s="28"/>
      <c r="D441" s="28"/>
      <c r="E441" s="28"/>
    </row>
    <row r="442" ht="15.75" customHeight="1">
      <c r="A442" s="28"/>
      <c r="B442" s="28"/>
      <c r="C442" s="28"/>
      <c r="D442" s="28"/>
      <c r="E442" s="28"/>
    </row>
    <row r="443" ht="15.75" customHeight="1">
      <c r="A443" s="28"/>
      <c r="B443" s="28"/>
      <c r="C443" s="28"/>
      <c r="D443" s="28"/>
      <c r="E443" s="28"/>
    </row>
    <row r="444" ht="15.75" customHeight="1">
      <c r="A444" s="28"/>
      <c r="B444" s="28"/>
      <c r="C444" s="28"/>
      <c r="D444" s="28"/>
      <c r="E444" s="28"/>
    </row>
    <row r="445" ht="15.75" customHeight="1">
      <c r="A445" s="28"/>
      <c r="B445" s="28"/>
      <c r="C445" s="28"/>
      <c r="D445" s="28"/>
      <c r="E445" s="28"/>
    </row>
    <row r="446" ht="15.75" customHeight="1">
      <c r="A446" s="28"/>
      <c r="B446" s="28"/>
      <c r="C446" s="28"/>
      <c r="D446" s="28"/>
      <c r="E446" s="28"/>
    </row>
    <row r="447" ht="15.75" customHeight="1">
      <c r="A447" s="28"/>
      <c r="B447" s="28"/>
      <c r="C447" s="28"/>
      <c r="D447" s="28"/>
      <c r="E447" s="28"/>
    </row>
    <row r="448" ht="15.75" customHeight="1">
      <c r="A448" s="28"/>
      <c r="B448" s="28"/>
      <c r="C448" s="28"/>
      <c r="D448" s="28"/>
      <c r="E448" s="28"/>
    </row>
    <row r="449" ht="15.75" customHeight="1">
      <c r="A449" s="28"/>
      <c r="B449" s="28"/>
      <c r="C449" s="28"/>
      <c r="D449" s="28"/>
      <c r="E449" s="28"/>
    </row>
    <row r="450" ht="15.75" customHeight="1">
      <c r="A450" s="28"/>
      <c r="B450" s="28"/>
      <c r="C450" s="28"/>
      <c r="D450" s="28"/>
      <c r="E450" s="28"/>
    </row>
    <row r="451" ht="15.75" customHeight="1">
      <c r="A451" s="28"/>
      <c r="B451" s="28"/>
      <c r="C451" s="28"/>
      <c r="D451" s="28"/>
      <c r="E451" s="28"/>
    </row>
    <row r="452" ht="15.75" customHeight="1">
      <c r="A452" s="28"/>
      <c r="B452" s="28"/>
      <c r="C452" s="28"/>
      <c r="D452" s="28"/>
      <c r="E452" s="28"/>
    </row>
    <row r="453" ht="15.75" customHeight="1">
      <c r="A453" s="28"/>
      <c r="B453" s="28"/>
      <c r="C453" s="28"/>
      <c r="D453" s="28"/>
      <c r="E453" s="28"/>
    </row>
    <row r="454" ht="15.75" customHeight="1">
      <c r="A454" s="28"/>
      <c r="B454" s="28"/>
      <c r="C454" s="28"/>
      <c r="D454" s="28"/>
      <c r="E454" s="28"/>
    </row>
    <row r="455" ht="15.75" customHeight="1">
      <c r="A455" s="28"/>
      <c r="B455" s="28"/>
      <c r="C455" s="28"/>
      <c r="D455" s="28"/>
      <c r="E455" s="28"/>
    </row>
    <row r="456" ht="15.75" customHeight="1">
      <c r="A456" s="28"/>
      <c r="B456" s="28"/>
      <c r="C456" s="28"/>
      <c r="D456" s="28"/>
      <c r="E456" s="28"/>
    </row>
    <row r="457" ht="15.75" customHeight="1">
      <c r="A457" s="28"/>
      <c r="B457" s="28"/>
      <c r="C457" s="28"/>
      <c r="D457" s="28"/>
      <c r="E457" s="28"/>
    </row>
    <row r="458" ht="15.75" customHeight="1">
      <c r="A458" s="28"/>
      <c r="B458" s="28"/>
      <c r="C458" s="28"/>
      <c r="D458" s="28"/>
      <c r="E458" s="28"/>
    </row>
    <row r="459" ht="15.75" customHeight="1">
      <c r="A459" s="28"/>
      <c r="B459" s="28"/>
      <c r="C459" s="28"/>
      <c r="D459" s="28"/>
      <c r="E459" s="28"/>
    </row>
    <row r="460" ht="15.75" customHeight="1">
      <c r="A460" s="28"/>
      <c r="B460" s="28"/>
      <c r="C460" s="28"/>
      <c r="D460" s="28"/>
      <c r="E460" s="28"/>
    </row>
    <row r="461" ht="15.75" customHeight="1">
      <c r="A461" s="28"/>
      <c r="B461" s="28"/>
      <c r="C461" s="28"/>
      <c r="D461" s="28"/>
      <c r="E461" s="28"/>
    </row>
    <row r="462" ht="15.75" customHeight="1">
      <c r="A462" s="28"/>
      <c r="B462" s="28"/>
      <c r="C462" s="28"/>
      <c r="D462" s="28"/>
      <c r="E462" s="28"/>
    </row>
    <row r="463" ht="15.75" customHeight="1">
      <c r="A463" s="28"/>
      <c r="B463" s="28"/>
      <c r="C463" s="28"/>
      <c r="D463" s="28"/>
      <c r="E463" s="28"/>
    </row>
    <row r="464" ht="15.75" customHeight="1">
      <c r="A464" s="28"/>
      <c r="B464" s="28"/>
      <c r="C464" s="28"/>
      <c r="D464" s="28"/>
      <c r="E464" s="28"/>
    </row>
    <row r="465" ht="15.75" customHeight="1">
      <c r="A465" s="28"/>
      <c r="B465" s="28"/>
      <c r="C465" s="28"/>
      <c r="D465" s="28"/>
      <c r="E465" s="28"/>
    </row>
    <row r="466" ht="15.75" customHeight="1">
      <c r="A466" s="28"/>
      <c r="B466" s="28"/>
      <c r="C466" s="28"/>
      <c r="D466" s="28"/>
      <c r="E466" s="28"/>
    </row>
    <row r="467" ht="15.75" customHeight="1">
      <c r="A467" s="28"/>
      <c r="B467" s="28"/>
      <c r="C467" s="28"/>
      <c r="D467" s="28"/>
      <c r="E467" s="28"/>
    </row>
    <row r="468" ht="15.75" customHeight="1">
      <c r="A468" s="28"/>
      <c r="B468" s="28"/>
      <c r="C468" s="28"/>
      <c r="D468" s="28"/>
      <c r="E468" s="28"/>
    </row>
    <row r="469" ht="15.75" customHeight="1">
      <c r="A469" s="28"/>
      <c r="B469" s="28"/>
      <c r="C469" s="28"/>
      <c r="D469" s="28"/>
      <c r="E469" s="28"/>
    </row>
    <row r="470" ht="15.75" customHeight="1">
      <c r="A470" s="28"/>
      <c r="B470" s="28"/>
      <c r="C470" s="28"/>
      <c r="D470" s="28"/>
      <c r="E470" s="28"/>
    </row>
    <row r="471" ht="15.75" customHeight="1">
      <c r="A471" s="28"/>
      <c r="B471" s="28"/>
      <c r="C471" s="28"/>
      <c r="D471" s="28"/>
      <c r="E471" s="28"/>
    </row>
    <row r="472" ht="15.75" customHeight="1">
      <c r="A472" s="28"/>
      <c r="B472" s="28"/>
      <c r="C472" s="28"/>
      <c r="D472" s="28"/>
      <c r="E472" s="28"/>
    </row>
    <row r="473" ht="15.75" customHeight="1">
      <c r="A473" s="28"/>
      <c r="B473" s="28"/>
      <c r="C473" s="28"/>
      <c r="D473" s="28"/>
      <c r="E473" s="28"/>
    </row>
    <row r="474" ht="15.75" customHeight="1">
      <c r="A474" s="28"/>
      <c r="B474" s="28"/>
      <c r="C474" s="28"/>
      <c r="D474" s="28"/>
      <c r="E474" s="28"/>
    </row>
    <row r="475" ht="15.75" customHeight="1">
      <c r="A475" s="28"/>
      <c r="B475" s="28"/>
      <c r="C475" s="28"/>
      <c r="D475" s="28"/>
      <c r="E475" s="28"/>
    </row>
    <row r="476" ht="15.75" customHeight="1">
      <c r="A476" s="28"/>
      <c r="B476" s="28"/>
      <c r="C476" s="28"/>
      <c r="D476" s="28"/>
      <c r="E476" s="28"/>
    </row>
    <row r="477" ht="15.75" customHeight="1">
      <c r="A477" s="28"/>
      <c r="B477" s="28"/>
      <c r="C477" s="28"/>
      <c r="D477" s="28"/>
      <c r="E477" s="28"/>
    </row>
    <row r="478" ht="15.75" customHeight="1">
      <c r="A478" s="28"/>
      <c r="B478" s="28"/>
      <c r="C478" s="28"/>
      <c r="D478" s="28"/>
      <c r="E478" s="28"/>
    </row>
    <row r="479" ht="15.75" customHeight="1">
      <c r="A479" s="28"/>
      <c r="B479" s="28"/>
      <c r="C479" s="28"/>
      <c r="D479" s="28"/>
      <c r="E479" s="28"/>
    </row>
    <row r="480" ht="15.75" customHeight="1">
      <c r="A480" s="28"/>
      <c r="B480" s="28"/>
      <c r="C480" s="28"/>
      <c r="D480" s="28"/>
      <c r="E480" s="28"/>
    </row>
    <row r="481" ht="15.75" customHeight="1">
      <c r="A481" s="28"/>
      <c r="B481" s="28"/>
      <c r="C481" s="28"/>
      <c r="D481" s="28"/>
      <c r="E481" s="28"/>
    </row>
    <row r="482" ht="15.75" customHeight="1">
      <c r="A482" s="28"/>
      <c r="B482" s="28"/>
      <c r="C482" s="28"/>
      <c r="D482" s="28"/>
      <c r="E482" s="28"/>
    </row>
    <row r="483" ht="15.75" customHeight="1">
      <c r="A483" s="28"/>
      <c r="B483" s="28"/>
      <c r="C483" s="28"/>
      <c r="D483" s="28"/>
      <c r="E483" s="28"/>
    </row>
    <row r="484" ht="15.75" customHeight="1">
      <c r="A484" s="28"/>
      <c r="B484" s="28"/>
      <c r="C484" s="28"/>
      <c r="D484" s="28"/>
      <c r="E484" s="28"/>
    </row>
    <row r="485" ht="15.75" customHeight="1">
      <c r="A485" s="28"/>
      <c r="B485" s="28"/>
      <c r="C485" s="28"/>
      <c r="D485" s="28"/>
      <c r="E485" s="28"/>
    </row>
    <row r="486" ht="15.75" customHeight="1">
      <c r="A486" s="28"/>
      <c r="B486" s="28"/>
      <c r="C486" s="28"/>
      <c r="D486" s="28"/>
      <c r="E486" s="28"/>
    </row>
    <row r="487" ht="15.75" customHeight="1">
      <c r="A487" s="28"/>
      <c r="B487" s="28"/>
      <c r="C487" s="28"/>
      <c r="D487" s="28"/>
      <c r="E487" s="28"/>
    </row>
    <row r="488" ht="15.75" customHeight="1">
      <c r="A488" s="28"/>
      <c r="B488" s="28"/>
      <c r="C488" s="28"/>
      <c r="D488" s="28"/>
      <c r="E488" s="28"/>
    </row>
    <row r="489" ht="15.75" customHeight="1">
      <c r="A489" s="28"/>
      <c r="B489" s="28"/>
      <c r="C489" s="28"/>
      <c r="D489" s="28"/>
      <c r="E489" s="28"/>
    </row>
    <row r="490" ht="15.75" customHeight="1">
      <c r="A490" s="28"/>
      <c r="B490" s="28"/>
      <c r="C490" s="28"/>
      <c r="D490" s="28"/>
      <c r="E490" s="28"/>
    </row>
    <row r="491" ht="15.75" customHeight="1">
      <c r="A491" s="28"/>
      <c r="B491" s="28"/>
      <c r="C491" s="28"/>
      <c r="D491" s="28"/>
      <c r="E491" s="28"/>
    </row>
    <row r="492" ht="15.75" customHeight="1">
      <c r="A492" s="28"/>
      <c r="B492" s="28"/>
      <c r="C492" s="28"/>
      <c r="D492" s="28"/>
      <c r="E492" s="28"/>
    </row>
    <row r="493" ht="15.75" customHeight="1">
      <c r="A493" s="28"/>
      <c r="B493" s="28"/>
      <c r="C493" s="28"/>
      <c r="D493" s="28"/>
      <c r="E493" s="28"/>
    </row>
    <row r="494" ht="15.75" customHeight="1">
      <c r="A494" s="28"/>
      <c r="B494" s="28"/>
      <c r="C494" s="28"/>
      <c r="D494" s="28"/>
      <c r="E494" s="28"/>
    </row>
    <row r="495" ht="15.75" customHeight="1">
      <c r="A495" s="28"/>
      <c r="B495" s="28"/>
      <c r="C495" s="28"/>
      <c r="D495" s="28"/>
      <c r="E495" s="28"/>
    </row>
    <row r="496" ht="15.75" customHeight="1">
      <c r="A496" s="28"/>
      <c r="B496" s="28"/>
      <c r="C496" s="28"/>
      <c r="D496" s="28"/>
      <c r="E496" s="28"/>
    </row>
    <row r="497" ht="15.75" customHeight="1">
      <c r="A497" s="28"/>
      <c r="B497" s="28"/>
      <c r="C497" s="28"/>
      <c r="D497" s="28"/>
      <c r="E497" s="28"/>
    </row>
    <row r="498" ht="15.75" customHeight="1">
      <c r="A498" s="28"/>
      <c r="B498" s="28"/>
      <c r="C498" s="28"/>
      <c r="D498" s="28"/>
      <c r="E498" s="28"/>
    </row>
    <row r="499" ht="15.75" customHeight="1">
      <c r="A499" s="28"/>
      <c r="B499" s="28"/>
      <c r="C499" s="28"/>
      <c r="D499" s="28"/>
      <c r="E499" s="28"/>
    </row>
    <row r="500" ht="15.75" customHeight="1">
      <c r="A500" s="28"/>
      <c r="B500" s="28"/>
      <c r="C500" s="28"/>
      <c r="D500" s="28"/>
      <c r="E500" s="28"/>
    </row>
    <row r="501" ht="15.75" customHeight="1">
      <c r="A501" s="28"/>
      <c r="B501" s="28"/>
      <c r="C501" s="28"/>
      <c r="D501" s="28"/>
      <c r="E501" s="28"/>
    </row>
    <row r="502" ht="15.75" customHeight="1">
      <c r="A502" s="28"/>
      <c r="B502" s="28"/>
      <c r="C502" s="28"/>
      <c r="D502" s="28"/>
      <c r="E502" s="28"/>
    </row>
    <row r="503" ht="15.75" customHeight="1">
      <c r="A503" s="28"/>
      <c r="B503" s="28"/>
      <c r="C503" s="28"/>
      <c r="D503" s="28"/>
      <c r="E503" s="28"/>
    </row>
    <row r="504" ht="15.75" customHeight="1">
      <c r="A504" s="28"/>
      <c r="B504" s="28"/>
      <c r="C504" s="28"/>
      <c r="D504" s="28"/>
      <c r="E504" s="28"/>
    </row>
    <row r="505" ht="15.75" customHeight="1">
      <c r="A505" s="28"/>
      <c r="B505" s="28"/>
      <c r="C505" s="28"/>
      <c r="D505" s="28"/>
      <c r="E505" s="28"/>
    </row>
    <row r="506" ht="15.75" customHeight="1">
      <c r="A506" s="28"/>
      <c r="B506" s="28"/>
      <c r="C506" s="28"/>
      <c r="D506" s="28"/>
      <c r="E506" s="28"/>
    </row>
    <row r="507" ht="15.75" customHeight="1">
      <c r="A507" s="28"/>
      <c r="B507" s="28"/>
      <c r="C507" s="28"/>
      <c r="D507" s="28"/>
      <c r="E507" s="28"/>
    </row>
    <row r="508" ht="15.75" customHeight="1">
      <c r="A508" s="28"/>
      <c r="B508" s="28"/>
      <c r="C508" s="28"/>
      <c r="D508" s="28"/>
      <c r="E508" s="28"/>
    </row>
    <row r="509" ht="15.75" customHeight="1">
      <c r="A509" s="28"/>
      <c r="B509" s="28"/>
      <c r="C509" s="28"/>
      <c r="D509" s="28"/>
      <c r="E509" s="28"/>
    </row>
    <row r="510" ht="15.75" customHeight="1">
      <c r="A510" s="28"/>
      <c r="B510" s="28"/>
      <c r="C510" s="28"/>
      <c r="D510" s="28"/>
      <c r="E510" s="28"/>
    </row>
    <row r="511" ht="15.75" customHeight="1">
      <c r="A511" s="28"/>
      <c r="B511" s="28"/>
      <c r="C511" s="28"/>
      <c r="D511" s="28"/>
      <c r="E511" s="28"/>
    </row>
    <row r="512" ht="15.75" customHeight="1">
      <c r="A512" s="28"/>
      <c r="B512" s="28"/>
      <c r="C512" s="28"/>
      <c r="D512" s="28"/>
      <c r="E512" s="28"/>
    </row>
    <row r="513" ht="15.75" customHeight="1">
      <c r="A513" s="28"/>
      <c r="B513" s="28"/>
      <c r="C513" s="28"/>
      <c r="D513" s="28"/>
      <c r="E513" s="28"/>
    </row>
    <row r="514" ht="15.75" customHeight="1">
      <c r="A514" s="28"/>
      <c r="B514" s="28"/>
      <c r="C514" s="28"/>
      <c r="D514" s="28"/>
      <c r="E514" s="28"/>
    </row>
    <row r="515" ht="15.75" customHeight="1">
      <c r="A515" s="28"/>
      <c r="B515" s="28"/>
      <c r="C515" s="28"/>
      <c r="D515" s="28"/>
      <c r="E515" s="28"/>
    </row>
    <row r="516" ht="15.75" customHeight="1">
      <c r="A516" s="28"/>
      <c r="B516" s="28"/>
      <c r="C516" s="28"/>
      <c r="D516" s="28"/>
      <c r="E516" s="28"/>
    </row>
    <row r="517" ht="15.75" customHeight="1">
      <c r="A517" s="28"/>
      <c r="B517" s="28"/>
      <c r="C517" s="28"/>
      <c r="D517" s="28"/>
      <c r="E517" s="28"/>
    </row>
    <row r="518" ht="15.75" customHeight="1">
      <c r="A518" s="28"/>
      <c r="B518" s="28"/>
      <c r="C518" s="28"/>
      <c r="D518" s="28"/>
      <c r="E518" s="28"/>
    </row>
    <row r="519" ht="15.75" customHeight="1">
      <c r="A519" s="28"/>
      <c r="B519" s="28"/>
      <c r="C519" s="28"/>
      <c r="D519" s="28"/>
      <c r="E519" s="28"/>
    </row>
    <row r="520" ht="15.75" customHeight="1">
      <c r="A520" s="28"/>
      <c r="B520" s="28"/>
      <c r="C520" s="28"/>
      <c r="D520" s="28"/>
      <c r="E520" s="28"/>
    </row>
    <row r="521" ht="15.75" customHeight="1">
      <c r="A521" s="28"/>
      <c r="B521" s="28"/>
      <c r="C521" s="28"/>
      <c r="D521" s="28"/>
      <c r="E521" s="28"/>
    </row>
    <row r="522" ht="15.75" customHeight="1">
      <c r="A522" s="28"/>
      <c r="B522" s="28"/>
      <c r="C522" s="28"/>
      <c r="D522" s="28"/>
      <c r="E522" s="28"/>
    </row>
    <row r="523" ht="15.75" customHeight="1">
      <c r="A523" s="28"/>
      <c r="B523" s="28"/>
      <c r="C523" s="28"/>
      <c r="D523" s="28"/>
      <c r="E523" s="28"/>
    </row>
    <row r="524" ht="15.75" customHeight="1">
      <c r="A524" s="28"/>
      <c r="B524" s="28"/>
      <c r="C524" s="28"/>
      <c r="D524" s="28"/>
      <c r="E524" s="28"/>
    </row>
    <row r="525" ht="15.75" customHeight="1">
      <c r="A525" s="28"/>
      <c r="B525" s="28"/>
      <c r="C525" s="28"/>
      <c r="D525" s="28"/>
      <c r="E525" s="28"/>
    </row>
    <row r="526" ht="15.75" customHeight="1">
      <c r="A526" s="28"/>
      <c r="B526" s="28"/>
      <c r="C526" s="28"/>
      <c r="D526" s="28"/>
      <c r="E526" s="28"/>
    </row>
    <row r="527" ht="15.75" customHeight="1">
      <c r="A527" s="28"/>
      <c r="B527" s="28"/>
      <c r="C527" s="28"/>
      <c r="D527" s="28"/>
      <c r="E527" s="28"/>
    </row>
    <row r="528" ht="15.75" customHeight="1">
      <c r="A528" s="28"/>
      <c r="B528" s="28"/>
      <c r="C528" s="28"/>
      <c r="D528" s="28"/>
      <c r="E528" s="28"/>
    </row>
    <row r="529" ht="15.75" customHeight="1">
      <c r="A529" s="28"/>
      <c r="B529" s="28"/>
      <c r="C529" s="28"/>
      <c r="D529" s="28"/>
      <c r="E529" s="28"/>
    </row>
    <row r="530" ht="15.75" customHeight="1">
      <c r="A530" s="28"/>
      <c r="B530" s="28"/>
      <c r="C530" s="28"/>
      <c r="D530" s="28"/>
      <c r="E530" s="28"/>
    </row>
    <row r="531" ht="15.75" customHeight="1">
      <c r="A531" s="28"/>
      <c r="B531" s="28"/>
      <c r="C531" s="28"/>
      <c r="D531" s="28"/>
      <c r="E531" s="28"/>
    </row>
    <row r="532" ht="15.75" customHeight="1">
      <c r="A532" s="28"/>
      <c r="B532" s="28"/>
      <c r="C532" s="28"/>
      <c r="D532" s="28"/>
      <c r="E532" s="28"/>
    </row>
    <row r="533" ht="15.75" customHeight="1">
      <c r="A533" s="28"/>
      <c r="B533" s="28"/>
      <c r="C533" s="28"/>
      <c r="D533" s="28"/>
      <c r="E533" s="28"/>
    </row>
    <row r="534" ht="15.75" customHeight="1">
      <c r="A534" s="28"/>
      <c r="B534" s="28"/>
      <c r="C534" s="28"/>
      <c r="D534" s="28"/>
      <c r="E534" s="28"/>
    </row>
    <row r="535" ht="15.75" customHeight="1">
      <c r="A535" s="28"/>
      <c r="B535" s="28"/>
      <c r="C535" s="28"/>
      <c r="D535" s="28"/>
      <c r="E535" s="28"/>
    </row>
    <row r="536" ht="15.75" customHeight="1">
      <c r="A536" s="28"/>
      <c r="B536" s="28"/>
      <c r="C536" s="28"/>
      <c r="D536" s="28"/>
      <c r="E536" s="28"/>
    </row>
    <row r="537" ht="15.75" customHeight="1">
      <c r="A537" s="28"/>
      <c r="B537" s="28"/>
      <c r="C537" s="28"/>
      <c r="D537" s="28"/>
      <c r="E537" s="28"/>
    </row>
    <row r="538" ht="15.75" customHeight="1">
      <c r="A538" s="28"/>
      <c r="B538" s="28"/>
      <c r="C538" s="28"/>
      <c r="D538" s="28"/>
      <c r="E538" s="28"/>
    </row>
    <row r="539" ht="15.75" customHeight="1">
      <c r="A539" s="28"/>
      <c r="B539" s="28"/>
      <c r="C539" s="28"/>
      <c r="D539" s="28"/>
      <c r="E539" s="28"/>
    </row>
    <row r="540" ht="15.75" customHeight="1">
      <c r="A540" s="28"/>
      <c r="B540" s="28"/>
      <c r="C540" s="28"/>
      <c r="D540" s="28"/>
      <c r="E540" s="28"/>
    </row>
    <row r="541" ht="15.75" customHeight="1">
      <c r="A541" s="28"/>
      <c r="B541" s="28"/>
      <c r="C541" s="28"/>
      <c r="D541" s="28"/>
      <c r="E541" s="28"/>
    </row>
    <row r="542" ht="15.75" customHeight="1">
      <c r="A542" s="28"/>
      <c r="B542" s="28"/>
      <c r="C542" s="28"/>
      <c r="D542" s="28"/>
      <c r="E542" s="28"/>
    </row>
    <row r="543" ht="15.75" customHeight="1">
      <c r="A543" s="28"/>
      <c r="B543" s="28"/>
      <c r="C543" s="28"/>
      <c r="D543" s="28"/>
      <c r="E543" s="28"/>
    </row>
    <row r="544" ht="15.75" customHeight="1">
      <c r="A544" s="28"/>
      <c r="B544" s="28"/>
      <c r="C544" s="28"/>
      <c r="D544" s="28"/>
      <c r="E544" s="28"/>
    </row>
    <row r="545" ht="15.75" customHeight="1">
      <c r="A545" s="28"/>
      <c r="B545" s="28"/>
      <c r="C545" s="28"/>
      <c r="D545" s="28"/>
      <c r="E545" s="28"/>
    </row>
    <row r="546" ht="15.75" customHeight="1">
      <c r="A546" s="28"/>
      <c r="B546" s="28"/>
      <c r="C546" s="28"/>
      <c r="D546" s="28"/>
      <c r="E546" s="28"/>
    </row>
    <row r="547" ht="15.75" customHeight="1">
      <c r="A547" s="28"/>
      <c r="B547" s="28"/>
      <c r="C547" s="28"/>
      <c r="D547" s="28"/>
      <c r="E547" s="28"/>
    </row>
    <row r="548" ht="15.75" customHeight="1">
      <c r="A548" s="28"/>
      <c r="B548" s="28"/>
      <c r="C548" s="28"/>
      <c r="D548" s="28"/>
      <c r="E548" s="28"/>
    </row>
    <row r="549" ht="15.75" customHeight="1">
      <c r="A549" s="28"/>
      <c r="B549" s="28"/>
      <c r="C549" s="28"/>
      <c r="D549" s="28"/>
      <c r="E549" s="28"/>
    </row>
    <row r="550" ht="15.75" customHeight="1">
      <c r="A550" s="28"/>
      <c r="B550" s="28"/>
      <c r="C550" s="28"/>
      <c r="D550" s="28"/>
      <c r="E550" s="28"/>
    </row>
    <row r="551" ht="15.75" customHeight="1">
      <c r="A551" s="28"/>
      <c r="B551" s="28"/>
      <c r="C551" s="28"/>
      <c r="D551" s="28"/>
      <c r="E551" s="28"/>
    </row>
    <row r="552" ht="15.75" customHeight="1">
      <c r="A552" s="28"/>
      <c r="B552" s="28"/>
      <c r="C552" s="28"/>
      <c r="D552" s="28"/>
      <c r="E552" s="28"/>
    </row>
    <row r="553" ht="15.75" customHeight="1">
      <c r="A553" s="28"/>
      <c r="B553" s="28"/>
      <c r="C553" s="28"/>
      <c r="D553" s="28"/>
      <c r="E553" s="28"/>
    </row>
    <row r="554" ht="15.75" customHeight="1">
      <c r="A554" s="28"/>
      <c r="B554" s="28"/>
      <c r="C554" s="28"/>
      <c r="D554" s="28"/>
      <c r="E554" s="28"/>
    </row>
    <row r="555" ht="15.75" customHeight="1">
      <c r="A555" s="28"/>
      <c r="B555" s="28"/>
      <c r="C555" s="28"/>
      <c r="D555" s="28"/>
      <c r="E555" s="28"/>
    </row>
    <row r="556" ht="15.75" customHeight="1">
      <c r="A556" s="28"/>
      <c r="B556" s="28"/>
      <c r="C556" s="28"/>
      <c r="D556" s="28"/>
      <c r="E556" s="28"/>
    </row>
    <row r="557" ht="15.75" customHeight="1">
      <c r="A557" s="28"/>
      <c r="B557" s="28"/>
      <c r="C557" s="28"/>
      <c r="D557" s="28"/>
      <c r="E557" s="28"/>
    </row>
    <row r="558" ht="15.75" customHeight="1">
      <c r="A558" s="28"/>
      <c r="B558" s="28"/>
      <c r="C558" s="28"/>
      <c r="D558" s="28"/>
      <c r="E558" s="28"/>
    </row>
    <row r="559" ht="15.75" customHeight="1">
      <c r="A559" s="28"/>
      <c r="B559" s="28"/>
      <c r="C559" s="28"/>
      <c r="D559" s="28"/>
      <c r="E559" s="28"/>
    </row>
    <row r="560" ht="15.75" customHeight="1">
      <c r="A560" s="28"/>
      <c r="B560" s="28"/>
      <c r="C560" s="28"/>
      <c r="D560" s="28"/>
      <c r="E560" s="28"/>
    </row>
    <row r="561" ht="15.75" customHeight="1">
      <c r="A561" s="28"/>
      <c r="B561" s="28"/>
      <c r="C561" s="28"/>
      <c r="D561" s="28"/>
      <c r="E561" s="28"/>
    </row>
    <row r="562" ht="15.75" customHeight="1">
      <c r="A562" s="28"/>
      <c r="B562" s="28"/>
      <c r="C562" s="28"/>
      <c r="D562" s="28"/>
      <c r="E562" s="28"/>
    </row>
    <row r="563" ht="15.75" customHeight="1">
      <c r="A563" s="28"/>
      <c r="B563" s="28"/>
      <c r="C563" s="28"/>
      <c r="D563" s="28"/>
      <c r="E563" s="28"/>
    </row>
    <row r="564" ht="15.75" customHeight="1">
      <c r="A564" s="28"/>
      <c r="B564" s="28"/>
      <c r="C564" s="28"/>
      <c r="D564" s="28"/>
      <c r="E564" s="28"/>
    </row>
    <row r="565" ht="15.75" customHeight="1">
      <c r="A565" s="28"/>
      <c r="B565" s="28"/>
      <c r="C565" s="28"/>
      <c r="D565" s="28"/>
      <c r="E565" s="28"/>
    </row>
    <row r="566" ht="15.75" customHeight="1">
      <c r="A566" s="28"/>
      <c r="B566" s="28"/>
      <c r="C566" s="28"/>
      <c r="D566" s="28"/>
      <c r="E566" s="28"/>
    </row>
    <row r="567" ht="15.75" customHeight="1">
      <c r="A567" s="28"/>
      <c r="B567" s="28"/>
      <c r="C567" s="28"/>
      <c r="D567" s="28"/>
      <c r="E567" s="28"/>
    </row>
    <row r="568" ht="15.75" customHeight="1">
      <c r="A568" s="28"/>
      <c r="B568" s="28"/>
      <c r="C568" s="28"/>
      <c r="D568" s="28"/>
      <c r="E568" s="28"/>
    </row>
    <row r="569" ht="15.75" customHeight="1">
      <c r="A569" s="28"/>
      <c r="B569" s="28"/>
      <c r="C569" s="28"/>
      <c r="D569" s="28"/>
      <c r="E569" s="28"/>
    </row>
    <row r="570" ht="15.75" customHeight="1">
      <c r="A570" s="28"/>
      <c r="B570" s="28"/>
      <c r="C570" s="28"/>
      <c r="D570" s="28"/>
      <c r="E570" s="28"/>
    </row>
    <row r="571" ht="15.75" customHeight="1">
      <c r="A571" s="28"/>
      <c r="B571" s="28"/>
      <c r="C571" s="28"/>
      <c r="D571" s="28"/>
      <c r="E571" s="28"/>
    </row>
    <row r="572" ht="15.75" customHeight="1">
      <c r="A572" s="28"/>
      <c r="B572" s="28"/>
      <c r="C572" s="28"/>
      <c r="D572" s="28"/>
      <c r="E572" s="28"/>
    </row>
    <row r="573" ht="15.75" customHeight="1">
      <c r="A573" s="28"/>
      <c r="B573" s="28"/>
      <c r="C573" s="28"/>
      <c r="D573" s="28"/>
      <c r="E573" s="28"/>
    </row>
    <row r="574" ht="15.75" customHeight="1">
      <c r="A574" s="28"/>
      <c r="B574" s="28"/>
      <c r="C574" s="28"/>
      <c r="D574" s="28"/>
      <c r="E574" s="28"/>
    </row>
    <row r="575" ht="15.75" customHeight="1">
      <c r="A575" s="28"/>
      <c r="B575" s="28"/>
      <c r="C575" s="28"/>
      <c r="D575" s="28"/>
      <c r="E575" s="28"/>
    </row>
    <row r="576" ht="15.75" customHeight="1">
      <c r="A576" s="28"/>
      <c r="B576" s="28"/>
      <c r="C576" s="28"/>
      <c r="D576" s="28"/>
      <c r="E576" s="28"/>
    </row>
    <row r="577" ht="15.75" customHeight="1">
      <c r="A577" s="28"/>
      <c r="B577" s="28"/>
      <c r="C577" s="28"/>
      <c r="D577" s="28"/>
      <c r="E577" s="28"/>
    </row>
    <row r="578" ht="15.75" customHeight="1">
      <c r="A578" s="28"/>
      <c r="B578" s="28"/>
      <c r="C578" s="28"/>
      <c r="D578" s="28"/>
      <c r="E578" s="28"/>
    </row>
    <row r="579" ht="15.75" customHeight="1">
      <c r="A579" s="28"/>
      <c r="B579" s="28"/>
      <c r="C579" s="28"/>
      <c r="D579" s="28"/>
      <c r="E579" s="28"/>
    </row>
    <row r="580" ht="15.75" customHeight="1">
      <c r="A580" s="28"/>
      <c r="B580" s="28"/>
      <c r="C580" s="28"/>
      <c r="D580" s="28"/>
      <c r="E580" s="28"/>
    </row>
    <row r="581" ht="15.75" customHeight="1">
      <c r="A581" s="28"/>
      <c r="B581" s="28"/>
      <c r="C581" s="28"/>
      <c r="D581" s="28"/>
      <c r="E581" s="28"/>
    </row>
    <row r="582" ht="15.75" customHeight="1">
      <c r="A582" s="28"/>
      <c r="B582" s="28"/>
      <c r="C582" s="28"/>
      <c r="D582" s="28"/>
      <c r="E582" s="28"/>
    </row>
    <row r="583" ht="15.75" customHeight="1">
      <c r="A583" s="28"/>
      <c r="B583" s="28"/>
      <c r="C583" s="28"/>
      <c r="D583" s="28"/>
      <c r="E583" s="28"/>
    </row>
    <row r="584" ht="15.75" customHeight="1">
      <c r="A584" s="28"/>
      <c r="B584" s="28"/>
      <c r="C584" s="28"/>
      <c r="D584" s="28"/>
      <c r="E584" s="28"/>
    </row>
    <row r="585" ht="15.75" customHeight="1">
      <c r="A585" s="28"/>
      <c r="B585" s="28"/>
      <c r="C585" s="28"/>
      <c r="D585" s="28"/>
      <c r="E585" s="28"/>
    </row>
    <row r="586" ht="15.75" customHeight="1">
      <c r="A586" s="28"/>
      <c r="B586" s="28"/>
      <c r="C586" s="28"/>
      <c r="D586" s="28"/>
      <c r="E586" s="28"/>
    </row>
    <row r="587" ht="15.75" customHeight="1">
      <c r="A587" s="28"/>
      <c r="B587" s="28"/>
      <c r="C587" s="28"/>
      <c r="D587" s="28"/>
      <c r="E587" s="28"/>
    </row>
    <row r="588" ht="15.75" customHeight="1">
      <c r="A588" s="28"/>
      <c r="B588" s="28"/>
      <c r="C588" s="28"/>
      <c r="D588" s="28"/>
      <c r="E588" s="28"/>
    </row>
    <row r="589" ht="15.75" customHeight="1">
      <c r="A589" s="28"/>
      <c r="B589" s="28"/>
      <c r="C589" s="28"/>
      <c r="D589" s="28"/>
      <c r="E589" s="28"/>
    </row>
    <row r="590" ht="15.75" customHeight="1">
      <c r="A590" s="28"/>
      <c r="B590" s="28"/>
      <c r="C590" s="28"/>
      <c r="D590" s="28"/>
      <c r="E590" s="28"/>
    </row>
    <row r="591" ht="15.75" customHeight="1">
      <c r="A591" s="28"/>
      <c r="B591" s="28"/>
      <c r="C591" s="28"/>
      <c r="D591" s="28"/>
      <c r="E591" s="28"/>
    </row>
    <row r="592" ht="15.75" customHeight="1">
      <c r="A592" s="28"/>
      <c r="B592" s="28"/>
      <c r="C592" s="28"/>
      <c r="D592" s="28"/>
      <c r="E592" s="28"/>
    </row>
    <row r="593" ht="15.75" customHeight="1">
      <c r="A593" s="28"/>
      <c r="B593" s="28"/>
      <c r="C593" s="28"/>
      <c r="D593" s="28"/>
      <c r="E593" s="28"/>
    </row>
    <row r="594" ht="15.75" customHeight="1">
      <c r="A594" s="28"/>
      <c r="B594" s="28"/>
      <c r="C594" s="28"/>
      <c r="D594" s="28"/>
      <c r="E594" s="28"/>
    </row>
    <row r="595" ht="15.75" customHeight="1">
      <c r="A595" s="28"/>
      <c r="B595" s="28"/>
      <c r="C595" s="28"/>
      <c r="D595" s="28"/>
      <c r="E595" s="28"/>
    </row>
    <row r="596" ht="15.75" customHeight="1">
      <c r="A596" s="28"/>
      <c r="B596" s="28"/>
      <c r="C596" s="28"/>
      <c r="D596" s="28"/>
      <c r="E596" s="28"/>
    </row>
    <row r="597" ht="15.75" customHeight="1">
      <c r="A597" s="28"/>
      <c r="B597" s="28"/>
      <c r="C597" s="28"/>
      <c r="D597" s="28"/>
      <c r="E597" s="28"/>
    </row>
    <row r="598" ht="15.75" customHeight="1">
      <c r="A598" s="28"/>
      <c r="B598" s="28"/>
      <c r="C598" s="28"/>
      <c r="D598" s="28"/>
      <c r="E598" s="28"/>
    </row>
    <row r="599" ht="15.75" customHeight="1">
      <c r="A599" s="28"/>
      <c r="B599" s="28"/>
      <c r="C599" s="28"/>
      <c r="D599" s="28"/>
      <c r="E599" s="28"/>
    </row>
    <row r="600" ht="15.75" customHeight="1">
      <c r="A600" s="28"/>
      <c r="B600" s="28"/>
      <c r="C600" s="28"/>
      <c r="D600" s="28"/>
      <c r="E600" s="28"/>
    </row>
    <row r="601" ht="15.75" customHeight="1">
      <c r="A601" s="28"/>
      <c r="B601" s="28"/>
      <c r="C601" s="28"/>
      <c r="D601" s="28"/>
      <c r="E601" s="28"/>
    </row>
    <row r="602" ht="15.75" customHeight="1">
      <c r="A602" s="28"/>
      <c r="B602" s="28"/>
      <c r="C602" s="28"/>
      <c r="D602" s="28"/>
      <c r="E602" s="28"/>
    </row>
    <row r="603" ht="15.75" customHeight="1">
      <c r="A603" s="28"/>
      <c r="B603" s="28"/>
      <c r="C603" s="28"/>
      <c r="D603" s="28"/>
      <c r="E603" s="28"/>
    </row>
    <row r="604" ht="15.75" customHeight="1">
      <c r="A604" s="28"/>
      <c r="B604" s="28"/>
      <c r="C604" s="28"/>
      <c r="D604" s="28"/>
      <c r="E604" s="28"/>
    </row>
    <row r="605" ht="15.75" customHeight="1">
      <c r="A605" s="28"/>
      <c r="B605" s="28"/>
      <c r="C605" s="28"/>
      <c r="D605" s="28"/>
      <c r="E605" s="28"/>
    </row>
    <row r="606" ht="15.75" customHeight="1">
      <c r="A606" s="28"/>
      <c r="B606" s="28"/>
      <c r="C606" s="28"/>
      <c r="D606" s="28"/>
      <c r="E606" s="28"/>
    </row>
    <row r="607" ht="15.75" customHeight="1">
      <c r="A607" s="28"/>
      <c r="B607" s="28"/>
      <c r="C607" s="28"/>
      <c r="D607" s="28"/>
      <c r="E607" s="28"/>
    </row>
    <row r="608" ht="15.75" customHeight="1">
      <c r="A608" s="28"/>
      <c r="B608" s="28"/>
      <c r="C608" s="28"/>
      <c r="D608" s="28"/>
      <c r="E608" s="28"/>
    </row>
    <row r="609" ht="15.75" customHeight="1">
      <c r="A609" s="28"/>
      <c r="B609" s="28"/>
      <c r="C609" s="28"/>
      <c r="D609" s="28"/>
      <c r="E609" s="28"/>
    </row>
    <row r="610" ht="15.75" customHeight="1">
      <c r="A610" s="28"/>
      <c r="B610" s="28"/>
      <c r="C610" s="28"/>
      <c r="D610" s="28"/>
      <c r="E610" s="28"/>
    </row>
    <row r="611" ht="15.75" customHeight="1">
      <c r="A611" s="28"/>
      <c r="B611" s="28"/>
      <c r="C611" s="28"/>
      <c r="D611" s="28"/>
      <c r="E611" s="28"/>
    </row>
    <row r="612" ht="15.75" customHeight="1">
      <c r="A612" s="28"/>
      <c r="B612" s="28"/>
      <c r="C612" s="28"/>
      <c r="D612" s="28"/>
      <c r="E612" s="28"/>
    </row>
    <row r="613" ht="15.75" customHeight="1">
      <c r="A613" s="28"/>
      <c r="B613" s="28"/>
      <c r="C613" s="28"/>
      <c r="D613" s="28"/>
      <c r="E613" s="28"/>
    </row>
    <row r="614" ht="15.75" customHeight="1">
      <c r="A614" s="28"/>
      <c r="B614" s="28"/>
      <c r="C614" s="28"/>
      <c r="D614" s="28"/>
      <c r="E614" s="28"/>
    </row>
    <row r="615" ht="15.75" customHeight="1">
      <c r="A615" s="28"/>
      <c r="B615" s="28"/>
      <c r="C615" s="28"/>
      <c r="D615" s="28"/>
      <c r="E615" s="28"/>
    </row>
    <row r="616" ht="15.75" customHeight="1">
      <c r="A616" s="28"/>
      <c r="B616" s="28"/>
      <c r="C616" s="28"/>
      <c r="D616" s="28"/>
      <c r="E616" s="28"/>
    </row>
    <row r="617" ht="15.75" customHeight="1">
      <c r="A617" s="28"/>
      <c r="B617" s="28"/>
      <c r="C617" s="28"/>
      <c r="D617" s="28"/>
      <c r="E617" s="28"/>
    </row>
    <row r="618" ht="15.75" customHeight="1">
      <c r="A618" s="28"/>
      <c r="B618" s="28"/>
      <c r="C618" s="28"/>
      <c r="D618" s="28"/>
      <c r="E618" s="28"/>
    </row>
    <row r="619" ht="15.75" customHeight="1">
      <c r="A619" s="28"/>
      <c r="B619" s="28"/>
      <c r="C619" s="28"/>
      <c r="D619" s="28"/>
      <c r="E619" s="28"/>
    </row>
    <row r="620" ht="15.75" customHeight="1">
      <c r="A620" s="28"/>
      <c r="B620" s="28"/>
      <c r="C620" s="28"/>
      <c r="D620" s="28"/>
      <c r="E620" s="28"/>
    </row>
    <row r="621" ht="15.75" customHeight="1">
      <c r="A621" s="28"/>
      <c r="B621" s="28"/>
      <c r="C621" s="28"/>
      <c r="D621" s="28"/>
      <c r="E621" s="28"/>
    </row>
    <row r="622" ht="15.75" customHeight="1">
      <c r="A622" s="28"/>
      <c r="B622" s="28"/>
      <c r="C622" s="28"/>
      <c r="D622" s="28"/>
      <c r="E622" s="28"/>
    </row>
    <row r="623" ht="15.75" customHeight="1">
      <c r="A623" s="28"/>
      <c r="B623" s="28"/>
      <c r="C623" s="28"/>
      <c r="D623" s="28"/>
      <c r="E623" s="28"/>
    </row>
    <row r="624" ht="15.75" customHeight="1">
      <c r="A624" s="28"/>
      <c r="B624" s="28"/>
      <c r="C624" s="28"/>
      <c r="D624" s="28"/>
      <c r="E624" s="28"/>
    </row>
    <row r="625" ht="15.75" customHeight="1">
      <c r="A625" s="28"/>
      <c r="B625" s="28"/>
      <c r="C625" s="28"/>
      <c r="D625" s="28"/>
      <c r="E625" s="28"/>
    </row>
    <row r="626" ht="15.75" customHeight="1">
      <c r="A626" s="28"/>
      <c r="B626" s="28"/>
      <c r="C626" s="28"/>
      <c r="D626" s="28"/>
      <c r="E626" s="28"/>
    </row>
    <row r="627" ht="15.75" customHeight="1">
      <c r="A627" s="28"/>
      <c r="B627" s="28"/>
      <c r="C627" s="28"/>
      <c r="D627" s="28"/>
      <c r="E627" s="28"/>
    </row>
    <row r="628" ht="15.75" customHeight="1">
      <c r="A628" s="28"/>
      <c r="B628" s="28"/>
      <c r="C628" s="28"/>
      <c r="D628" s="28"/>
      <c r="E628" s="28"/>
    </row>
    <row r="629" ht="15.75" customHeight="1">
      <c r="A629" s="28"/>
      <c r="B629" s="28"/>
      <c r="C629" s="28"/>
      <c r="D629" s="28"/>
      <c r="E629" s="28"/>
    </row>
    <row r="630" ht="15.75" customHeight="1">
      <c r="A630" s="28"/>
      <c r="B630" s="28"/>
      <c r="C630" s="28"/>
      <c r="D630" s="28"/>
      <c r="E630" s="28"/>
    </row>
    <row r="631" ht="15.75" customHeight="1">
      <c r="A631" s="28"/>
      <c r="B631" s="28"/>
      <c r="C631" s="28"/>
      <c r="D631" s="28"/>
      <c r="E631" s="28"/>
    </row>
    <row r="632" ht="15.75" customHeight="1">
      <c r="A632" s="28"/>
      <c r="B632" s="28"/>
      <c r="C632" s="28"/>
      <c r="D632" s="28"/>
      <c r="E632" s="28"/>
    </row>
    <row r="633" ht="15.75" customHeight="1">
      <c r="A633" s="28"/>
      <c r="B633" s="28"/>
      <c r="C633" s="28"/>
      <c r="D633" s="28"/>
      <c r="E633" s="28"/>
    </row>
    <row r="634" ht="15.75" customHeight="1">
      <c r="A634" s="28"/>
      <c r="B634" s="28"/>
      <c r="C634" s="28"/>
      <c r="D634" s="28"/>
      <c r="E634" s="28"/>
    </row>
    <row r="635" ht="15.75" customHeight="1">
      <c r="A635" s="28"/>
      <c r="B635" s="28"/>
      <c r="C635" s="28"/>
      <c r="D635" s="28"/>
      <c r="E635" s="28"/>
    </row>
    <row r="636" ht="15.75" customHeight="1">
      <c r="A636" s="28"/>
      <c r="B636" s="28"/>
      <c r="C636" s="28"/>
      <c r="D636" s="28"/>
      <c r="E636" s="28"/>
    </row>
    <row r="637" ht="15.75" customHeight="1">
      <c r="A637" s="28"/>
      <c r="B637" s="28"/>
      <c r="C637" s="28"/>
      <c r="D637" s="28"/>
      <c r="E637" s="28"/>
    </row>
    <row r="638" ht="15.75" customHeight="1">
      <c r="A638" s="28"/>
      <c r="B638" s="28"/>
      <c r="C638" s="28"/>
      <c r="D638" s="28"/>
      <c r="E638" s="28"/>
    </row>
    <row r="639" ht="15.75" customHeight="1">
      <c r="A639" s="28"/>
      <c r="B639" s="28"/>
      <c r="C639" s="28"/>
      <c r="D639" s="28"/>
      <c r="E639" s="28"/>
    </row>
    <row r="640" ht="15.75" customHeight="1">
      <c r="A640" s="28"/>
      <c r="B640" s="28"/>
      <c r="C640" s="28"/>
      <c r="D640" s="28"/>
      <c r="E640" s="28"/>
    </row>
    <row r="641" ht="15.75" customHeight="1">
      <c r="A641" s="28"/>
      <c r="B641" s="28"/>
      <c r="C641" s="28"/>
      <c r="D641" s="28"/>
      <c r="E641" s="28"/>
    </row>
    <row r="642" ht="15.75" customHeight="1">
      <c r="A642" s="28"/>
      <c r="B642" s="28"/>
      <c r="C642" s="28"/>
      <c r="D642" s="28"/>
      <c r="E642" s="28"/>
    </row>
    <row r="643" ht="15.75" customHeight="1">
      <c r="A643" s="28"/>
      <c r="B643" s="28"/>
      <c r="C643" s="28"/>
      <c r="D643" s="28"/>
      <c r="E643" s="28"/>
    </row>
    <row r="644" ht="15.75" customHeight="1">
      <c r="A644" s="28"/>
      <c r="B644" s="28"/>
      <c r="C644" s="28"/>
      <c r="D644" s="28"/>
      <c r="E644" s="28"/>
    </row>
    <row r="645" ht="15.75" customHeight="1">
      <c r="A645" s="28"/>
      <c r="B645" s="28"/>
      <c r="C645" s="28"/>
      <c r="D645" s="28"/>
      <c r="E645" s="28"/>
    </row>
    <row r="646" ht="15.75" customHeight="1">
      <c r="A646" s="28"/>
      <c r="B646" s="28"/>
      <c r="C646" s="28"/>
      <c r="D646" s="28"/>
      <c r="E646" s="28"/>
    </row>
    <row r="647" ht="15.75" customHeight="1">
      <c r="A647" s="28"/>
      <c r="B647" s="28"/>
      <c r="C647" s="28"/>
      <c r="D647" s="28"/>
      <c r="E647" s="28"/>
    </row>
    <row r="648" ht="15.75" customHeight="1">
      <c r="A648" s="28"/>
      <c r="B648" s="28"/>
      <c r="C648" s="28"/>
      <c r="D648" s="28"/>
      <c r="E648" s="28"/>
    </row>
    <row r="649" ht="15.75" customHeight="1">
      <c r="A649" s="28"/>
      <c r="B649" s="28"/>
      <c r="C649" s="28"/>
      <c r="D649" s="28"/>
      <c r="E649" s="28"/>
    </row>
    <row r="650" ht="15.75" customHeight="1">
      <c r="A650" s="28"/>
      <c r="B650" s="28"/>
      <c r="C650" s="28"/>
      <c r="D650" s="28"/>
      <c r="E650" s="28"/>
    </row>
    <row r="651" ht="15.75" customHeight="1">
      <c r="A651" s="28"/>
      <c r="B651" s="28"/>
      <c r="C651" s="28"/>
      <c r="D651" s="28"/>
      <c r="E651" s="28"/>
    </row>
    <row r="652" ht="15.75" customHeight="1">
      <c r="A652" s="28"/>
      <c r="B652" s="28"/>
      <c r="C652" s="28"/>
      <c r="D652" s="28"/>
      <c r="E652" s="28"/>
    </row>
    <row r="653" ht="15.75" customHeight="1">
      <c r="A653" s="28"/>
      <c r="B653" s="28"/>
      <c r="C653" s="28"/>
      <c r="D653" s="28"/>
      <c r="E653" s="28"/>
    </row>
    <row r="654" ht="15.75" customHeight="1">
      <c r="A654" s="28"/>
      <c r="B654" s="28"/>
      <c r="C654" s="28"/>
      <c r="D654" s="28"/>
      <c r="E654" s="28"/>
    </row>
    <row r="655" ht="15.75" customHeight="1">
      <c r="A655" s="28"/>
      <c r="B655" s="28"/>
      <c r="C655" s="28"/>
      <c r="D655" s="28"/>
      <c r="E655" s="28"/>
    </row>
    <row r="656" ht="15.75" customHeight="1">
      <c r="A656" s="28"/>
      <c r="B656" s="28"/>
      <c r="C656" s="28"/>
      <c r="D656" s="28"/>
      <c r="E656" s="28"/>
    </row>
    <row r="657" ht="15.75" customHeight="1">
      <c r="A657" s="28"/>
      <c r="B657" s="28"/>
      <c r="C657" s="28"/>
      <c r="D657" s="28"/>
      <c r="E657" s="28"/>
    </row>
    <row r="658" ht="15.75" customHeight="1">
      <c r="A658" s="28"/>
      <c r="B658" s="28"/>
      <c r="C658" s="28"/>
      <c r="D658" s="28"/>
      <c r="E658" s="28"/>
    </row>
    <row r="659" ht="15.75" customHeight="1">
      <c r="A659" s="28"/>
      <c r="B659" s="28"/>
      <c r="C659" s="28"/>
      <c r="D659" s="28"/>
      <c r="E659" s="28"/>
    </row>
    <row r="660" ht="15.75" customHeight="1">
      <c r="A660" s="28"/>
      <c r="B660" s="28"/>
      <c r="C660" s="28"/>
      <c r="D660" s="28"/>
      <c r="E660" s="28"/>
    </row>
    <row r="661" ht="15.75" customHeight="1">
      <c r="A661" s="28"/>
      <c r="B661" s="28"/>
      <c r="C661" s="28"/>
      <c r="D661" s="28"/>
      <c r="E661" s="28"/>
    </row>
    <row r="662" ht="15.75" customHeight="1">
      <c r="A662" s="28"/>
      <c r="B662" s="28"/>
      <c r="C662" s="28"/>
      <c r="D662" s="28"/>
      <c r="E662" s="28"/>
    </row>
    <row r="663" ht="15.75" customHeight="1">
      <c r="A663" s="28"/>
      <c r="B663" s="28"/>
      <c r="C663" s="28"/>
      <c r="D663" s="28"/>
      <c r="E663" s="28"/>
    </row>
    <row r="664" ht="15.75" customHeight="1">
      <c r="A664" s="28"/>
      <c r="B664" s="28"/>
      <c r="C664" s="28"/>
      <c r="D664" s="28"/>
      <c r="E664" s="28"/>
    </row>
    <row r="665" ht="15.75" customHeight="1">
      <c r="A665" s="28"/>
      <c r="B665" s="28"/>
      <c r="C665" s="28"/>
      <c r="D665" s="28"/>
      <c r="E665" s="28"/>
    </row>
    <row r="666" ht="15.75" customHeight="1">
      <c r="A666" s="28"/>
      <c r="B666" s="28"/>
      <c r="C666" s="28"/>
      <c r="D666" s="28"/>
      <c r="E666" s="28"/>
    </row>
    <row r="667" ht="15.75" customHeight="1">
      <c r="A667" s="28"/>
      <c r="B667" s="28"/>
      <c r="C667" s="28"/>
      <c r="D667" s="28"/>
      <c r="E667" s="28"/>
    </row>
    <row r="668" ht="15.75" customHeight="1">
      <c r="A668" s="28"/>
      <c r="B668" s="28"/>
      <c r="C668" s="28"/>
      <c r="D668" s="28"/>
      <c r="E668" s="28"/>
    </row>
    <row r="669" ht="15.75" customHeight="1">
      <c r="A669" s="28"/>
      <c r="B669" s="28"/>
      <c r="C669" s="28"/>
      <c r="D669" s="28"/>
      <c r="E669" s="28"/>
    </row>
    <row r="670" ht="15.75" customHeight="1">
      <c r="A670" s="28"/>
      <c r="B670" s="28"/>
      <c r="C670" s="28"/>
      <c r="D670" s="28"/>
      <c r="E670" s="28"/>
    </row>
    <row r="671" ht="15.75" customHeight="1">
      <c r="A671" s="28"/>
      <c r="B671" s="28"/>
      <c r="C671" s="28"/>
      <c r="D671" s="28"/>
      <c r="E671" s="28"/>
    </row>
    <row r="672" ht="15.75" customHeight="1">
      <c r="A672" s="28"/>
      <c r="B672" s="28"/>
      <c r="C672" s="28"/>
      <c r="D672" s="28"/>
      <c r="E672" s="28"/>
    </row>
    <row r="673" ht="15.75" customHeight="1">
      <c r="A673" s="28"/>
      <c r="B673" s="28"/>
      <c r="C673" s="28"/>
      <c r="D673" s="28"/>
      <c r="E673" s="28"/>
    </row>
    <row r="674" ht="15.75" customHeight="1">
      <c r="A674" s="28"/>
      <c r="B674" s="28"/>
      <c r="C674" s="28"/>
      <c r="D674" s="28"/>
      <c r="E674" s="28"/>
    </row>
    <row r="675" ht="15.75" customHeight="1">
      <c r="A675" s="28"/>
      <c r="B675" s="28"/>
      <c r="C675" s="28"/>
      <c r="D675" s="28"/>
      <c r="E675" s="28"/>
    </row>
    <row r="676" ht="15.75" customHeight="1">
      <c r="A676" s="28"/>
      <c r="B676" s="28"/>
      <c r="C676" s="28"/>
      <c r="D676" s="28"/>
      <c r="E676" s="28"/>
    </row>
    <row r="677" ht="15.75" customHeight="1">
      <c r="A677" s="28"/>
      <c r="B677" s="28"/>
      <c r="C677" s="28"/>
      <c r="D677" s="28"/>
      <c r="E677" s="28"/>
    </row>
    <row r="678" ht="15.75" customHeight="1">
      <c r="A678" s="28"/>
      <c r="B678" s="28"/>
      <c r="C678" s="28"/>
      <c r="D678" s="28"/>
      <c r="E678" s="28"/>
    </row>
    <row r="679" ht="15.75" customHeight="1">
      <c r="A679" s="28"/>
      <c r="B679" s="28"/>
      <c r="C679" s="28"/>
      <c r="D679" s="28"/>
      <c r="E679" s="28"/>
    </row>
    <row r="680" ht="15.75" customHeight="1">
      <c r="A680" s="28"/>
      <c r="B680" s="28"/>
      <c r="C680" s="28"/>
      <c r="D680" s="28"/>
      <c r="E680" s="28"/>
    </row>
    <row r="681" ht="15.75" customHeight="1">
      <c r="A681" s="28"/>
      <c r="B681" s="28"/>
      <c r="C681" s="28"/>
      <c r="D681" s="28"/>
      <c r="E681" s="28"/>
    </row>
    <row r="682" ht="15.75" customHeight="1">
      <c r="A682" s="28"/>
      <c r="B682" s="28"/>
      <c r="C682" s="28"/>
      <c r="D682" s="28"/>
      <c r="E682" s="28"/>
    </row>
    <row r="683" ht="15.75" customHeight="1">
      <c r="A683" s="28"/>
      <c r="B683" s="28"/>
      <c r="C683" s="28"/>
      <c r="D683" s="28"/>
      <c r="E683" s="28"/>
    </row>
    <row r="684" ht="15.75" customHeight="1">
      <c r="A684" s="28"/>
      <c r="B684" s="28"/>
      <c r="C684" s="28"/>
      <c r="D684" s="28"/>
      <c r="E684" s="28"/>
    </row>
    <row r="685" ht="15.75" customHeight="1">
      <c r="A685" s="28"/>
      <c r="B685" s="28"/>
      <c r="C685" s="28"/>
      <c r="D685" s="28"/>
      <c r="E685" s="28"/>
    </row>
    <row r="686" ht="15.75" customHeight="1">
      <c r="A686" s="28"/>
      <c r="B686" s="28"/>
      <c r="C686" s="28"/>
      <c r="D686" s="28"/>
      <c r="E686" s="28"/>
    </row>
    <row r="687" ht="15.75" customHeight="1">
      <c r="A687" s="28"/>
      <c r="B687" s="28"/>
      <c r="C687" s="28"/>
      <c r="D687" s="28"/>
      <c r="E687" s="28"/>
    </row>
    <row r="688" ht="15.75" customHeight="1">
      <c r="A688" s="28"/>
      <c r="B688" s="28"/>
      <c r="C688" s="28"/>
      <c r="D688" s="28"/>
      <c r="E688" s="28"/>
    </row>
    <row r="689" ht="15.75" customHeight="1">
      <c r="A689" s="28"/>
      <c r="B689" s="28"/>
      <c r="C689" s="28"/>
      <c r="D689" s="28"/>
      <c r="E689" s="28"/>
    </row>
    <row r="690" ht="15.75" customHeight="1">
      <c r="A690" s="28"/>
      <c r="B690" s="28"/>
      <c r="C690" s="28"/>
      <c r="D690" s="28"/>
      <c r="E690" s="28"/>
    </row>
    <row r="691" ht="15.75" customHeight="1">
      <c r="A691" s="28"/>
      <c r="B691" s="28"/>
      <c r="C691" s="28"/>
      <c r="D691" s="28"/>
      <c r="E691" s="28"/>
    </row>
    <row r="692" ht="15.75" customHeight="1">
      <c r="A692" s="28"/>
      <c r="B692" s="28"/>
      <c r="C692" s="28"/>
      <c r="D692" s="28"/>
      <c r="E692" s="28"/>
    </row>
    <row r="693" ht="15.75" customHeight="1">
      <c r="A693" s="28"/>
      <c r="B693" s="28"/>
      <c r="C693" s="28"/>
      <c r="D693" s="28"/>
      <c r="E693" s="28"/>
    </row>
    <row r="694" ht="15.75" customHeight="1">
      <c r="A694" s="28"/>
      <c r="B694" s="28"/>
      <c r="C694" s="28"/>
      <c r="D694" s="28"/>
      <c r="E694" s="28"/>
    </row>
    <row r="695" ht="15.75" customHeight="1">
      <c r="A695" s="28"/>
      <c r="B695" s="28"/>
      <c r="C695" s="28"/>
      <c r="D695" s="28"/>
      <c r="E695" s="28"/>
    </row>
    <row r="696" ht="15.75" customHeight="1">
      <c r="A696" s="28"/>
      <c r="B696" s="28"/>
      <c r="C696" s="28"/>
      <c r="D696" s="28"/>
      <c r="E696" s="28"/>
    </row>
    <row r="697" ht="15.75" customHeight="1">
      <c r="A697" s="28"/>
      <c r="B697" s="28"/>
      <c r="C697" s="28"/>
      <c r="D697" s="28"/>
      <c r="E697" s="28"/>
    </row>
    <row r="698" ht="15.75" customHeight="1">
      <c r="A698" s="28"/>
      <c r="B698" s="28"/>
      <c r="C698" s="28"/>
      <c r="D698" s="28"/>
      <c r="E698" s="28"/>
    </row>
    <row r="699" ht="15.75" customHeight="1">
      <c r="A699" s="28"/>
      <c r="B699" s="28"/>
      <c r="C699" s="28"/>
      <c r="D699" s="28"/>
      <c r="E699" s="28"/>
    </row>
    <row r="700" ht="15.75" customHeight="1">
      <c r="A700" s="28"/>
      <c r="B700" s="28"/>
      <c r="C700" s="28"/>
      <c r="D700" s="28"/>
      <c r="E700" s="28"/>
    </row>
    <row r="701" ht="15.75" customHeight="1">
      <c r="A701" s="28"/>
      <c r="B701" s="28"/>
      <c r="C701" s="28"/>
      <c r="D701" s="28"/>
      <c r="E701" s="28"/>
    </row>
    <row r="702" ht="15.75" customHeight="1">
      <c r="A702" s="28"/>
      <c r="B702" s="28"/>
      <c r="C702" s="28"/>
      <c r="D702" s="28"/>
      <c r="E702" s="28"/>
    </row>
    <row r="703" ht="15.75" customHeight="1">
      <c r="A703" s="28"/>
      <c r="B703" s="28"/>
      <c r="C703" s="28"/>
      <c r="D703" s="28"/>
      <c r="E703" s="28"/>
    </row>
    <row r="704" ht="15.75" customHeight="1">
      <c r="A704" s="28"/>
      <c r="B704" s="28"/>
      <c r="C704" s="28"/>
      <c r="D704" s="28"/>
      <c r="E704" s="28"/>
    </row>
    <row r="705" ht="15.75" customHeight="1">
      <c r="A705" s="28"/>
      <c r="B705" s="28"/>
      <c r="C705" s="28"/>
      <c r="D705" s="28"/>
      <c r="E705" s="28"/>
    </row>
    <row r="706" ht="15.75" customHeight="1">
      <c r="A706" s="28"/>
      <c r="B706" s="28"/>
      <c r="C706" s="28"/>
      <c r="D706" s="28"/>
      <c r="E706" s="28"/>
    </row>
    <row r="707" ht="15.75" customHeight="1">
      <c r="A707" s="28"/>
      <c r="B707" s="28"/>
      <c r="C707" s="28"/>
      <c r="D707" s="28"/>
      <c r="E707" s="28"/>
    </row>
    <row r="708" ht="15.75" customHeight="1">
      <c r="A708" s="28"/>
      <c r="B708" s="28"/>
      <c r="C708" s="28"/>
      <c r="D708" s="28"/>
      <c r="E708" s="28"/>
    </row>
    <row r="709" ht="15.75" customHeight="1">
      <c r="A709" s="28"/>
      <c r="B709" s="28"/>
      <c r="C709" s="28"/>
      <c r="D709" s="28"/>
      <c r="E709" s="28"/>
    </row>
    <row r="710" ht="15.75" customHeight="1">
      <c r="A710" s="28"/>
      <c r="B710" s="28"/>
      <c r="C710" s="28"/>
      <c r="D710" s="28"/>
      <c r="E710" s="28"/>
    </row>
    <row r="711" ht="15.75" customHeight="1">
      <c r="A711" s="28"/>
      <c r="B711" s="28"/>
      <c r="C711" s="28"/>
      <c r="D711" s="28"/>
      <c r="E711" s="28"/>
    </row>
    <row r="712" ht="15.75" customHeight="1">
      <c r="A712" s="28"/>
      <c r="B712" s="28"/>
      <c r="C712" s="28"/>
      <c r="D712" s="28"/>
      <c r="E712" s="28"/>
    </row>
    <row r="713" ht="15.75" customHeight="1">
      <c r="A713" s="28"/>
      <c r="B713" s="28"/>
      <c r="C713" s="28"/>
      <c r="D713" s="28"/>
      <c r="E713" s="28"/>
    </row>
    <row r="714" ht="15.75" customHeight="1">
      <c r="A714" s="28"/>
      <c r="B714" s="28"/>
      <c r="C714" s="28"/>
      <c r="D714" s="28"/>
      <c r="E714" s="28"/>
    </row>
    <row r="715" ht="15.75" customHeight="1">
      <c r="A715" s="28"/>
      <c r="B715" s="28"/>
      <c r="C715" s="28"/>
      <c r="D715" s="28"/>
      <c r="E715" s="28"/>
    </row>
    <row r="716" ht="15.75" customHeight="1">
      <c r="A716" s="28"/>
      <c r="B716" s="28"/>
      <c r="C716" s="28"/>
      <c r="D716" s="28"/>
      <c r="E716" s="28"/>
    </row>
    <row r="717" ht="15.75" customHeight="1">
      <c r="A717" s="28"/>
      <c r="B717" s="28"/>
      <c r="C717" s="28"/>
      <c r="D717" s="28"/>
      <c r="E717" s="28"/>
    </row>
    <row r="718" ht="15.75" customHeight="1">
      <c r="A718" s="28"/>
      <c r="B718" s="28"/>
      <c r="C718" s="28"/>
      <c r="D718" s="28"/>
      <c r="E718" s="28"/>
    </row>
    <row r="719" ht="15.75" customHeight="1">
      <c r="A719" s="28"/>
      <c r="B719" s="28"/>
      <c r="C719" s="28"/>
      <c r="D719" s="28"/>
      <c r="E719" s="28"/>
    </row>
    <row r="720" ht="15.75" customHeight="1">
      <c r="A720" s="28"/>
      <c r="B720" s="28"/>
      <c r="C720" s="28"/>
      <c r="D720" s="28"/>
      <c r="E720" s="28"/>
    </row>
    <row r="721" ht="15.75" customHeight="1">
      <c r="A721" s="28"/>
      <c r="B721" s="28"/>
      <c r="C721" s="28"/>
      <c r="D721" s="28"/>
      <c r="E721" s="28"/>
    </row>
    <row r="722" ht="15.75" customHeight="1">
      <c r="A722" s="28"/>
      <c r="B722" s="28"/>
      <c r="C722" s="28"/>
      <c r="D722" s="28"/>
      <c r="E722" s="28"/>
    </row>
    <row r="723" ht="15.75" customHeight="1">
      <c r="A723" s="28"/>
      <c r="B723" s="28"/>
      <c r="C723" s="28"/>
      <c r="D723" s="28"/>
      <c r="E723" s="28"/>
    </row>
    <row r="724" ht="15.75" customHeight="1">
      <c r="A724" s="28"/>
      <c r="B724" s="28"/>
      <c r="C724" s="28"/>
      <c r="D724" s="28"/>
      <c r="E724" s="28"/>
    </row>
    <row r="725" ht="15.75" customHeight="1">
      <c r="A725" s="28"/>
      <c r="B725" s="28"/>
      <c r="C725" s="28"/>
      <c r="D725" s="28"/>
      <c r="E725" s="28"/>
    </row>
    <row r="726" ht="15.75" customHeight="1">
      <c r="A726" s="28"/>
      <c r="B726" s="28"/>
      <c r="C726" s="28"/>
      <c r="D726" s="28"/>
      <c r="E726" s="28"/>
    </row>
    <row r="727" ht="15.75" customHeight="1">
      <c r="A727" s="28"/>
      <c r="B727" s="28"/>
      <c r="C727" s="28"/>
      <c r="D727" s="28"/>
      <c r="E727" s="28"/>
    </row>
    <row r="728" ht="15.75" customHeight="1">
      <c r="A728" s="28"/>
      <c r="B728" s="28"/>
      <c r="C728" s="28"/>
      <c r="D728" s="28"/>
      <c r="E728" s="28"/>
    </row>
    <row r="729" ht="15.75" customHeight="1">
      <c r="A729" s="28"/>
      <c r="B729" s="28"/>
      <c r="C729" s="28"/>
      <c r="D729" s="28"/>
      <c r="E729" s="28"/>
    </row>
    <row r="730" ht="15.75" customHeight="1">
      <c r="A730" s="28"/>
      <c r="B730" s="28"/>
      <c r="C730" s="28"/>
      <c r="D730" s="28"/>
      <c r="E730" s="28"/>
    </row>
    <row r="731" ht="15.75" customHeight="1">
      <c r="A731" s="28"/>
      <c r="B731" s="28"/>
      <c r="C731" s="28"/>
      <c r="D731" s="28"/>
      <c r="E731" s="28"/>
    </row>
    <row r="732" ht="15.75" customHeight="1">
      <c r="A732" s="28"/>
      <c r="B732" s="28"/>
      <c r="C732" s="28"/>
      <c r="D732" s="28"/>
      <c r="E732" s="28"/>
    </row>
    <row r="733" ht="15.75" customHeight="1">
      <c r="A733" s="28"/>
      <c r="B733" s="28"/>
      <c r="C733" s="28"/>
      <c r="D733" s="28"/>
      <c r="E733" s="28"/>
    </row>
    <row r="734" ht="15.75" customHeight="1">
      <c r="A734" s="28"/>
      <c r="B734" s="28"/>
      <c r="C734" s="28"/>
      <c r="D734" s="28"/>
      <c r="E734" s="28"/>
    </row>
    <row r="735" ht="15.75" customHeight="1">
      <c r="A735" s="28"/>
      <c r="B735" s="28"/>
      <c r="C735" s="28"/>
      <c r="D735" s="28"/>
      <c r="E735" s="28"/>
    </row>
    <row r="736" ht="15.75" customHeight="1">
      <c r="A736" s="28"/>
      <c r="B736" s="28"/>
      <c r="C736" s="28"/>
      <c r="D736" s="28"/>
      <c r="E736" s="28"/>
    </row>
    <row r="737" ht="15.75" customHeight="1">
      <c r="A737" s="28"/>
      <c r="B737" s="28"/>
      <c r="C737" s="28"/>
      <c r="D737" s="28"/>
      <c r="E737" s="28"/>
    </row>
    <row r="738" ht="15.75" customHeight="1">
      <c r="A738" s="28"/>
      <c r="B738" s="28"/>
      <c r="C738" s="28"/>
      <c r="D738" s="28"/>
      <c r="E738" s="28"/>
    </row>
    <row r="739" ht="15.75" customHeight="1">
      <c r="A739" s="28"/>
      <c r="B739" s="28"/>
      <c r="C739" s="28"/>
      <c r="D739" s="28"/>
      <c r="E739" s="28"/>
    </row>
    <row r="740" ht="15.75" customHeight="1">
      <c r="A740" s="28"/>
      <c r="B740" s="28"/>
      <c r="C740" s="28"/>
      <c r="D740" s="28"/>
      <c r="E740" s="28"/>
    </row>
    <row r="741" ht="15.75" customHeight="1">
      <c r="A741" s="28"/>
      <c r="B741" s="28"/>
      <c r="C741" s="28"/>
      <c r="D741" s="28"/>
      <c r="E741" s="28"/>
    </row>
    <row r="742" ht="15.75" customHeight="1">
      <c r="A742" s="28"/>
      <c r="B742" s="28"/>
      <c r="C742" s="28"/>
      <c r="D742" s="28"/>
      <c r="E742" s="28"/>
    </row>
    <row r="743" ht="15.75" customHeight="1">
      <c r="A743" s="28"/>
      <c r="B743" s="28"/>
      <c r="C743" s="28"/>
      <c r="D743" s="28"/>
      <c r="E743" s="28"/>
    </row>
    <row r="744" ht="15.75" customHeight="1">
      <c r="A744" s="28"/>
      <c r="B744" s="28"/>
      <c r="C744" s="28"/>
      <c r="D744" s="28"/>
      <c r="E744" s="28"/>
    </row>
    <row r="745" ht="15.75" customHeight="1">
      <c r="A745" s="28"/>
      <c r="B745" s="28"/>
      <c r="C745" s="28"/>
      <c r="D745" s="28"/>
      <c r="E745" s="28"/>
    </row>
    <row r="746" ht="15.75" customHeight="1">
      <c r="A746" s="28"/>
      <c r="B746" s="28"/>
      <c r="C746" s="28"/>
      <c r="D746" s="28"/>
      <c r="E746" s="28"/>
    </row>
    <row r="747" ht="15.75" customHeight="1">
      <c r="A747" s="28"/>
      <c r="B747" s="28"/>
      <c r="C747" s="28"/>
      <c r="D747" s="28"/>
      <c r="E747" s="28"/>
    </row>
    <row r="748" ht="15.75" customHeight="1">
      <c r="A748" s="28"/>
      <c r="B748" s="28"/>
      <c r="C748" s="28"/>
      <c r="D748" s="28"/>
      <c r="E748" s="28"/>
    </row>
    <row r="749" ht="15.75" customHeight="1">
      <c r="A749" s="28"/>
      <c r="B749" s="28"/>
      <c r="C749" s="28"/>
      <c r="D749" s="28"/>
      <c r="E749" s="28"/>
    </row>
    <row r="750" ht="15.75" customHeight="1">
      <c r="A750" s="28"/>
      <c r="B750" s="28"/>
      <c r="C750" s="28"/>
      <c r="D750" s="28"/>
      <c r="E750" s="28"/>
    </row>
    <row r="751" ht="15.75" customHeight="1">
      <c r="A751" s="28"/>
      <c r="B751" s="28"/>
      <c r="C751" s="28"/>
      <c r="D751" s="28"/>
      <c r="E751" s="28"/>
    </row>
    <row r="752" ht="15.75" customHeight="1">
      <c r="A752" s="28"/>
      <c r="B752" s="28"/>
      <c r="C752" s="28"/>
      <c r="D752" s="28"/>
      <c r="E752" s="28"/>
    </row>
    <row r="753" ht="15.75" customHeight="1">
      <c r="A753" s="28"/>
      <c r="B753" s="28"/>
      <c r="C753" s="28"/>
      <c r="D753" s="28"/>
      <c r="E753" s="28"/>
    </row>
    <row r="754" ht="15.75" customHeight="1">
      <c r="A754" s="28"/>
      <c r="B754" s="28"/>
      <c r="C754" s="28"/>
      <c r="D754" s="28"/>
      <c r="E754" s="28"/>
    </row>
    <row r="755" ht="15.75" customHeight="1">
      <c r="A755" s="28"/>
      <c r="B755" s="28"/>
      <c r="C755" s="28"/>
      <c r="D755" s="28"/>
      <c r="E755" s="28"/>
    </row>
    <row r="756" ht="15.75" customHeight="1">
      <c r="A756" s="28"/>
      <c r="B756" s="28"/>
      <c r="C756" s="28"/>
      <c r="D756" s="28"/>
      <c r="E756" s="28"/>
    </row>
    <row r="757" ht="15.75" customHeight="1">
      <c r="A757" s="28"/>
      <c r="B757" s="28"/>
      <c r="C757" s="28"/>
      <c r="D757" s="28"/>
      <c r="E757" s="28"/>
    </row>
    <row r="758" ht="15.75" customHeight="1">
      <c r="A758" s="28"/>
      <c r="B758" s="28"/>
      <c r="C758" s="28"/>
      <c r="D758" s="28"/>
      <c r="E758" s="28"/>
    </row>
    <row r="759" ht="15.75" customHeight="1">
      <c r="A759" s="28"/>
      <c r="B759" s="28"/>
      <c r="C759" s="28"/>
      <c r="D759" s="28"/>
      <c r="E759" s="28"/>
    </row>
    <row r="760" ht="15.75" customHeight="1">
      <c r="A760" s="28"/>
      <c r="B760" s="28"/>
      <c r="C760" s="28"/>
      <c r="D760" s="28"/>
      <c r="E760" s="28"/>
    </row>
    <row r="761" ht="15.75" customHeight="1">
      <c r="A761" s="28"/>
      <c r="B761" s="28"/>
      <c r="C761" s="28"/>
      <c r="D761" s="28"/>
      <c r="E761" s="28"/>
    </row>
    <row r="762" ht="15.75" customHeight="1">
      <c r="A762" s="28"/>
      <c r="B762" s="28"/>
      <c r="C762" s="28"/>
      <c r="D762" s="28"/>
      <c r="E762" s="28"/>
    </row>
    <row r="763" ht="15.75" customHeight="1">
      <c r="A763" s="28"/>
      <c r="B763" s="28"/>
      <c r="C763" s="28"/>
      <c r="D763" s="28"/>
      <c r="E763" s="28"/>
    </row>
    <row r="764" ht="15.75" customHeight="1">
      <c r="A764" s="28"/>
      <c r="B764" s="28"/>
      <c r="C764" s="28"/>
      <c r="D764" s="28"/>
      <c r="E764" s="28"/>
    </row>
    <row r="765" ht="15.75" customHeight="1">
      <c r="A765" s="28"/>
      <c r="B765" s="28"/>
      <c r="C765" s="28"/>
      <c r="D765" s="28"/>
      <c r="E765" s="28"/>
    </row>
    <row r="766" ht="15.75" customHeight="1">
      <c r="A766" s="28"/>
      <c r="B766" s="28"/>
      <c r="C766" s="28"/>
      <c r="D766" s="28"/>
      <c r="E766" s="28"/>
    </row>
    <row r="767" ht="15.75" customHeight="1">
      <c r="A767" s="28"/>
      <c r="B767" s="28"/>
      <c r="C767" s="28"/>
      <c r="D767" s="28"/>
      <c r="E767" s="28"/>
    </row>
    <row r="768" ht="15.75" customHeight="1">
      <c r="A768" s="28"/>
      <c r="B768" s="28"/>
      <c r="C768" s="28"/>
      <c r="D768" s="28"/>
      <c r="E768" s="28"/>
    </row>
    <row r="769" ht="15.75" customHeight="1">
      <c r="A769" s="28"/>
      <c r="B769" s="28"/>
      <c r="C769" s="28"/>
      <c r="D769" s="28"/>
      <c r="E769" s="28"/>
    </row>
    <row r="770" ht="15.75" customHeight="1">
      <c r="A770" s="28"/>
      <c r="B770" s="28"/>
      <c r="C770" s="28"/>
      <c r="D770" s="28"/>
      <c r="E770" s="28"/>
    </row>
    <row r="771" ht="15.75" customHeight="1">
      <c r="A771" s="28"/>
      <c r="B771" s="28"/>
      <c r="C771" s="28"/>
      <c r="D771" s="28"/>
      <c r="E771" s="28"/>
    </row>
    <row r="772" ht="15.75" customHeight="1">
      <c r="A772" s="28"/>
      <c r="B772" s="28"/>
      <c r="C772" s="28"/>
      <c r="D772" s="28"/>
      <c r="E772" s="28"/>
    </row>
    <row r="773" ht="15.75" customHeight="1">
      <c r="A773" s="28"/>
      <c r="B773" s="28"/>
      <c r="C773" s="28"/>
      <c r="D773" s="28"/>
      <c r="E773" s="28"/>
    </row>
    <row r="774" ht="15.75" customHeight="1">
      <c r="A774" s="28"/>
      <c r="B774" s="28"/>
      <c r="C774" s="28"/>
      <c r="D774" s="28"/>
      <c r="E774" s="28"/>
    </row>
    <row r="775" ht="15.75" customHeight="1">
      <c r="A775" s="28"/>
      <c r="B775" s="28"/>
      <c r="C775" s="28"/>
      <c r="D775" s="28"/>
      <c r="E775" s="28"/>
    </row>
    <row r="776" ht="15.75" customHeight="1">
      <c r="A776" s="28"/>
      <c r="B776" s="28"/>
      <c r="C776" s="28"/>
      <c r="D776" s="28"/>
      <c r="E776" s="28"/>
    </row>
    <row r="777" ht="15.75" customHeight="1">
      <c r="A777" s="28"/>
      <c r="B777" s="28"/>
      <c r="C777" s="28"/>
      <c r="D777" s="28"/>
      <c r="E777" s="28"/>
    </row>
    <row r="778" ht="15.75" customHeight="1">
      <c r="A778" s="28"/>
      <c r="B778" s="28"/>
      <c r="C778" s="28"/>
      <c r="D778" s="28"/>
      <c r="E778" s="28"/>
    </row>
    <row r="779" ht="15.75" customHeight="1">
      <c r="A779" s="28"/>
      <c r="B779" s="28"/>
      <c r="C779" s="28"/>
      <c r="D779" s="28"/>
      <c r="E779" s="28"/>
    </row>
    <row r="780" ht="15.75" customHeight="1">
      <c r="A780" s="28"/>
      <c r="B780" s="28"/>
      <c r="C780" s="28"/>
      <c r="D780" s="28"/>
      <c r="E780" s="28"/>
    </row>
    <row r="781" ht="15.75" customHeight="1">
      <c r="A781" s="28"/>
      <c r="B781" s="28"/>
      <c r="C781" s="28"/>
      <c r="D781" s="28"/>
      <c r="E781" s="28"/>
    </row>
    <row r="782" ht="15.75" customHeight="1">
      <c r="A782" s="28"/>
      <c r="B782" s="28"/>
      <c r="C782" s="28"/>
      <c r="D782" s="28"/>
      <c r="E782" s="28"/>
    </row>
    <row r="783" ht="15.75" customHeight="1">
      <c r="A783" s="28"/>
      <c r="B783" s="28"/>
      <c r="C783" s="28"/>
      <c r="D783" s="28"/>
      <c r="E783" s="28"/>
    </row>
    <row r="784" ht="15.75" customHeight="1">
      <c r="A784" s="28"/>
      <c r="B784" s="28"/>
      <c r="C784" s="28"/>
      <c r="D784" s="28"/>
      <c r="E784" s="28"/>
    </row>
    <row r="785" ht="15.75" customHeight="1">
      <c r="A785" s="28"/>
      <c r="B785" s="28"/>
      <c r="C785" s="28"/>
      <c r="D785" s="28"/>
      <c r="E785" s="28"/>
    </row>
    <row r="786" ht="15.75" customHeight="1">
      <c r="A786" s="28"/>
      <c r="B786" s="28"/>
      <c r="C786" s="28"/>
      <c r="D786" s="28"/>
      <c r="E786" s="28"/>
    </row>
    <row r="787" ht="15.75" customHeight="1">
      <c r="A787" s="28"/>
      <c r="B787" s="28"/>
      <c r="C787" s="28"/>
      <c r="D787" s="28"/>
      <c r="E787" s="28"/>
    </row>
    <row r="788" ht="15.75" customHeight="1">
      <c r="A788" s="28"/>
      <c r="B788" s="28"/>
      <c r="C788" s="28"/>
      <c r="D788" s="28"/>
      <c r="E788" s="28"/>
    </row>
    <row r="789" ht="15.75" customHeight="1">
      <c r="A789" s="28"/>
      <c r="B789" s="28"/>
      <c r="C789" s="28"/>
      <c r="D789" s="28"/>
      <c r="E789" s="28"/>
    </row>
    <row r="790" ht="15.75" customHeight="1">
      <c r="A790" s="28"/>
      <c r="B790" s="28"/>
      <c r="C790" s="28"/>
      <c r="D790" s="28"/>
      <c r="E790" s="28"/>
    </row>
    <row r="791" ht="15.75" customHeight="1">
      <c r="A791" s="28"/>
      <c r="B791" s="28"/>
      <c r="C791" s="28"/>
      <c r="D791" s="28"/>
      <c r="E791" s="28"/>
    </row>
    <row r="792" ht="15.75" customHeight="1">
      <c r="A792" s="28"/>
      <c r="B792" s="28"/>
      <c r="C792" s="28"/>
      <c r="D792" s="28"/>
      <c r="E792" s="28"/>
    </row>
    <row r="793" ht="15.75" customHeight="1">
      <c r="A793" s="28"/>
      <c r="B793" s="28"/>
      <c r="C793" s="28"/>
      <c r="D793" s="28"/>
      <c r="E793" s="28"/>
    </row>
    <row r="794" ht="15.75" customHeight="1">
      <c r="A794" s="28"/>
      <c r="B794" s="28"/>
      <c r="C794" s="28"/>
      <c r="D794" s="28"/>
      <c r="E794" s="28"/>
    </row>
    <row r="795" ht="15.75" customHeight="1">
      <c r="A795" s="28"/>
      <c r="B795" s="28"/>
      <c r="C795" s="28"/>
      <c r="D795" s="28"/>
      <c r="E795" s="28"/>
    </row>
    <row r="796" ht="15.75" customHeight="1">
      <c r="A796" s="28"/>
      <c r="B796" s="28"/>
      <c r="C796" s="28"/>
      <c r="D796" s="28"/>
      <c r="E796" s="28"/>
    </row>
    <row r="797" ht="15.75" customHeight="1">
      <c r="A797" s="28"/>
      <c r="B797" s="28"/>
      <c r="C797" s="28"/>
      <c r="D797" s="28"/>
      <c r="E797" s="28"/>
    </row>
    <row r="798" ht="15.75" customHeight="1">
      <c r="A798" s="28"/>
      <c r="B798" s="28"/>
      <c r="C798" s="28"/>
      <c r="D798" s="28"/>
      <c r="E798" s="28"/>
    </row>
    <row r="799" ht="15.75" customHeight="1">
      <c r="A799" s="28"/>
      <c r="B799" s="28"/>
      <c r="C799" s="28"/>
      <c r="D799" s="28"/>
      <c r="E799" s="28"/>
    </row>
    <row r="800" ht="15.75" customHeight="1">
      <c r="A800" s="28"/>
      <c r="B800" s="28"/>
      <c r="C800" s="28"/>
      <c r="D800" s="28"/>
      <c r="E800" s="28"/>
    </row>
    <row r="801" ht="15.75" customHeight="1">
      <c r="A801" s="28"/>
      <c r="B801" s="28"/>
      <c r="C801" s="28"/>
      <c r="D801" s="28"/>
      <c r="E801" s="28"/>
    </row>
    <row r="802" ht="15.75" customHeight="1">
      <c r="A802" s="28"/>
      <c r="B802" s="28"/>
      <c r="C802" s="28"/>
      <c r="D802" s="28"/>
      <c r="E802" s="28"/>
    </row>
    <row r="803" ht="15.75" customHeight="1">
      <c r="A803" s="28"/>
      <c r="B803" s="28"/>
      <c r="C803" s="28"/>
      <c r="D803" s="28"/>
      <c r="E803" s="28"/>
    </row>
    <row r="804" ht="15.75" customHeight="1">
      <c r="A804" s="28"/>
      <c r="B804" s="28"/>
      <c r="C804" s="28"/>
      <c r="D804" s="28"/>
      <c r="E804" s="28"/>
    </row>
    <row r="805" ht="15.75" customHeight="1">
      <c r="A805" s="28"/>
      <c r="B805" s="28"/>
      <c r="C805" s="28"/>
      <c r="D805" s="28"/>
      <c r="E805" s="28"/>
    </row>
    <row r="806" ht="15.75" customHeight="1">
      <c r="A806" s="28"/>
      <c r="B806" s="28"/>
      <c r="C806" s="28"/>
      <c r="D806" s="28"/>
      <c r="E806" s="28"/>
    </row>
    <row r="807" ht="15.75" customHeight="1">
      <c r="A807" s="28"/>
      <c r="B807" s="28"/>
      <c r="C807" s="28"/>
      <c r="D807" s="28"/>
      <c r="E807" s="28"/>
    </row>
    <row r="808" ht="15.75" customHeight="1">
      <c r="A808" s="28"/>
      <c r="B808" s="28"/>
      <c r="C808" s="28"/>
      <c r="D808" s="28"/>
      <c r="E808" s="28"/>
    </row>
    <row r="809" ht="15.75" customHeight="1">
      <c r="A809" s="28"/>
      <c r="B809" s="28"/>
      <c r="C809" s="28"/>
      <c r="D809" s="28"/>
      <c r="E809" s="28"/>
    </row>
    <row r="810" ht="15.75" customHeight="1">
      <c r="A810" s="28"/>
      <c r="B810" s="28"/>
      <c r="C810" s="28"/>
      <c r="D810" s="28"/>
      <c r="E810" s="28"/>
    </row>
    <row r="811" ht="15.75" customHeight="1">
      <c r="A811" s="28"/>
      <c r="B811" s="28"/>
      <c r="C811" s="28"/>
      <c r="D811" s="28"/>
      <c r="E811" s="28"/>
    </row>
    <row r="812" ht="15.75" customHeight="1">
      <c r="A812" s="28"/>
      <c r="B812" s="28"/>
      <c r="C812" s="28"/>
      <c r="D812" s="28"/>
      <c r="E812" s="28"/>
    </row>
    <row r="813" ht="15.75" customHeight="1">
      <c r="A813" s="28"/>
      <c r="B813" s="28"/>
      <c r="C813" s="28"/>
      <c r="D813" s="28"/>
      <c r="E813" s="28"/>
    </row>
    <row r="814" ht="15.75" customHeight="1">
      <c r="A814" s="28"/>
      <c r="B814" s="28"/>
      <c r="C814" s="28"/>
      <c r="D814" s="28"/>
      <c r="E814" s="28"/>
    </row>
    <row r="815" ht="15.75" customHeight="1">
      <c r="A815" s="28"/>
      <c r="B815" s="28"/>
      <c r="C815" s="28"/>
      <c r="D815" s="28"/>
      <c r="E815" s="28"/>
    </row>
    <row r="816" ht="15.75" customHeight="1">
      <c r="A816" s="28"/>
      <c r="B816" s="28"/>
      <c r="C816" s="28"/>
      <c r="D816" s="28"/>
      <c r="E816" s="28"/>
    </row>
    <row r="817" ht="15.75" customHeight="1">
      <c r="A817" s="28"/>
      <c r="B817" s="28"/>
      <c r="C817" s="28"/>
      <c r="D817" s="28"/>
      <c r="E817" s="28"/>
    </row>
    <row r="818" ht="15.75" customHeight="1">
      <c r="A818" s="28"/>
      <c r="B818" s="28"/>
      <c r="C818" s="28"/>
      <c r="D818" s="28"/>
      <c r="E818" s="28"/>
    </row>
    <row r="819" ht="15.75" customHeight="1">
      <c r="A819" s="28"/>
      <c r="B819" s="28"/>
      <c r="C819" s="28"/>
      <c r="D819" s="28"/>
      <c r="E819" s="28"/>
    </row>
    <row r="820" ht="15.75" customHeight="1">
      <c r="A820" s="28"/>
      <c r="B820" s="28"/>
      <c r="C820" s="28"/>
      <c r="D820" s="28"/>
      <c r="E820" s="28"/>
    </row>
    <row r="821" ht="15.75" customHeight="1">
      <c r="A821" s="28"/>
      <c r="B821" s="28"/>
      <c r="C821" s="28"/>
      <c r="D821" s="28"/>
      <c r="E821" s="28"/>
    </row>
    <row r="822" ht="15.75" customHeight="1">
      <c r="A822" s="28"/>
      <c r="B822" s="28"/>
      <c r="C822" s="28"/>
      <c r="D822" s="28"/>
      <c r="E822" s="28"/>
    </row>
    <row r="823" ht="15.75" customHeight="1">
      <c r="A823" s="28"/>
      <c r="B823" s="28"/>
      <c r="C823" s="28"/>
      <c r="D823" s="28"/>
      <c r="E823" s="28"/>
    </row>
    <row r="824" ht="15.75" customHeight="1">
      <c r="A824" s="28"/>
      <c r="B824" s="28"/>
      <c r="C824" s="28"/>
      <c r="D824" s="28"/>
      <c r="E824" s="28"/>
    </row>
    <row r="825" ht="15.75" customHeight="1">
      <c r="A825" s="28"/>
      <c r="B825" s="28"/>
      <c r="C825" s="28"/>
      <c r="D825" s="28"/>
      <c r="E825" s="28"/>
    </row>
    <row r="826" ht="15.75" customHeight="1">
      <c r="A826" s="28"/>
      <c r="B826" s="28"/>
      <c r="C826" s="28"/>
      <c r="D826" s="28"/>
      <c r="E826" s="28"/>
    </row>
    <row r="827" ht="15.75" customHeight="1">
      <c r="A827" s="28"/>
      <c r="B827" s="28"/>
      <c r="C827" s="28"/>
      <c r="D827" s="28"/>
      <c r="E827" s="28"/>
    </row>
    <row r="828" ht="15.75" customHeight="1">
      <c r="A828" s="28"/>
      <c r="B828" s="28"/>
      <c r="C828" s="28"/>
      <c r="D828" s="28"/>
      <c r="E828" s="28"/>
    </row>
    <row r="829" ht="15.75" customHeight="1">
      <c r="A829" s="28"/>
      <c r="B829" s="28"/>
      <c r="C829" s="28"/>
      <c r="D829" s="28"/>
      <c r="E829" s="28"/>
    </row>
    <row r="830" ht="15.75" customHeight="1">
      <c r="A830" s="28"/>
      <c r="B830" s="28"/>
      <c r="C830" s="28"/>
      <c r="D830" s="28"/>
      <c r="E830" s="28"/>
    </row>
    <row r="831" ht="15.75" customHeight="1">
      <c r="A831" s="28"/>
      <c r="B831" s="28"/>
      <c r="C831" s="28"/>
      <c r="D831" s="28"/>
      <c r="E831" s="28"/>
    </row>
    <row r="832" ht="15.75" customHeight="1">
      <c r="A832" s="28"/>
      <c r="B832" s="28"/>
      <c r="C832" s="28"/>
      <c r="D832" s="28"/>
      <c r="E832" s="28"/>
    </row>
    <row r="833" ht="15.75" customHeight="1">
      <c r="A833" s="28"/>
      <c r="B833" s="28"/>
      <c r="C833" s="28"/>
      <c r="D833" s="28"/>
      <c r="E833" s="28"/>
    </row>
    <row r="834" ht="15.75" customHeight="1">
      <c r="A834" s="28"/>
      <c r="B834" s="28"/>
      <c r="C834" s="28"/>
      <c r="D834" s="28"/>
      <c r="E834" s="28"/>
    </row>
    <row r="835" ht="15.75" customHeight="1">
      <c r="A835" s="28"/>
      <c r="B835" s="28"/>
      <c r="C835" s="28"/>
      <c r="D835" s="28"/>
      <c r="E835" s="28"/>
    </row>
    <row r="836" ht="15.75" customHeight="1">
      <c r="A836" s="28"/>
      <c r="B836" s="28"/>
      <c r="C836" s="28"/>
      <c r="D836" s="28"/>
      <c r="E836" s="28"/>
    </row>
    <row r="837" ht="15.75" customHeight="1">
      <c r="A837" s="28"/>
      <c r="B837" s="28"/>
      <c r="C837" s="28"/>
      <c r="D837" s="28"/>
      <c r="E837" s="28"/>
    </row>
    <row r="838" ht="15.75" customHeight="1">
      <c r="A838" s="28"/>
      <c r="B838" s="28"/>
      <c r="C838" s="28"/>
      <c r="D838" s="28"/>
      <c r="E838" s="28"/>
    </row>
    <row r="839" ht="15.75" customHeight="1">
      <c r="A839" s="28"/>
      <c r="B839" s="28"/>
      <c r="C839" s="28"/>
      <c r="D839" s="28"/>
      <c r="E839" s="28"/>
    </row>
    <row r="840" ht="15.75" customHeight="1">
      <c r="A840" s="28"/>
      <c r="B840" s="28"/>
      <c r="C840" s="28"/>
      <c r="D840" s="28"/>
      <c r="E840" s="28"/>
    </row>
    <row r="841" ht="15.75" customHeight="1">
      <c r="A841" s="28"/>
      <c r="B841" s="28"/>
      <c r="C841" s="28"/>
      <c r="D841" s="28"/>
      <c r="E841" s="28"/>
    </row>
    <row r="842" ht="15.75" customHeight="1">
      <c r="A842" s="28"/>
      <c r="B842" s="28"/>
      <c r="C842" s="28"/>
      <c r="D842" s="28"/>
      <c r="E842" s="28"/>
    </row>
    <row r="843" ht="15.75" customHeight="1">
      <c r="A843" s="28"/>
      <c r="B843" s="28"/>
      <c r="C843" s="28"/>
      <c r="D843" s="28"/>
      <c r="E843" s="28"/>
    </row>
    <row r="844" ht="15.75" customHeight="1">
      <c r="A844" s="28"/>
      <c r="B844" s="28"/>
      <c r="C844" s="28"/>
      <c r="D844" s="28"/>
      <c r="E844" s="28"/>
    </row>
    <row r="845" ht="15.75" customHeight="1">
      <c r="A845" s="28"/>
      <c r="B845" s="28"/>
      <c r="C845" s="28"/>
      <c r="D845" s="28"/>
      <c r="E845" s="28"/>
    </row>
    <row r="846" ht="15.75" customHeight="1">
      <c r="A846" s="28"/>
      <c r="B846" s="28"/>
      <c r="C846" s="28"/>
      <c r="D846" s="28"/>
      <c r="E846" s="28"/>
    </row>
    <row r="847" ht="15.75" customHeight="1">
      <c r="A847" s="28"/>
      <c r="B847" s="28"/>
      <c r="C847" s="28"/>
      <c r="D847" s="28"/>
      <c r="E847" s="28"/>
    </row>
    <row r="848" ht="15.75" customHeight="1">
      <c r="A848" s="28"/>
      <c r="B848" s="28"/>
      <c r="C848" s="28"/>
      <c r="D848" s="28"/>
      <c r="E848" s="28"/>
    </row>
    <row r="849" ht="15.75" customHeight="1">
      <c r="A849" s="28"/>
      <c r="B849" s="28"/>
      <c r="C849" s="28"/>
      <c r="D849" s="28"/>
      <c r="E849" s="28"/>
    </row>
    <row r="850" ht="15.75" customHeight="1">
      <c r="A850" s="28"/>
      <c r="B850" s="28"/>
      <c r="C850" s="28"/>
      <c r="D850" s="28"/>
      <c r="E850" s="28"/>
    </row>
    <row r="851" ht="15.75" customHeight="1">
      <c r="A851" s="28"/>
      <c r="B851" s="28"/>
      <c r="C851" s="28"/>
      <c r="D851" s="28"/>
      <c r="E851" s="28"/>
    </row>
    <row r="852" ht="15.75" customHeight="1">
      <c r="A852" s="28"/>
      <c r="B852" s="28"/>
      <c r="C852" s="28"/>
      <c r="D852" s="28"/>
      <c r="E852" s="28"/>
    </row>
    <row r="853" ht="15.75" customHeight="1">
      <c r="A853" s="28"/>
      <c r="B853" s="28"/>
      <c r="C853" s="28"/>
      <c r="D853" s="28"/>
      <c r="E853" s="28"/>
    </row>
    <row r="854" ht="15.75" customHeight="1">
      <c r="A854" s="28"/>
      <c r="B854" s="28"/>
      <c r="C854" s="28"/>
      <c r="D854" s="28"/>
      <c r="E854" s="28"/>
    </row>
    <row r="855" ht="15.75" customHeight="1">
      <c r="A855" s="28"/>
      <c r="B855" s="28"/>
      <c r="C855" s="28"/>
      <c r="D855" s="28"/>
      <c r="E855" s="28"/>
    </row>
    <row r="856" ht="15.75" customHeight="1">
      <c r="A856" s="28"/>
      <c r="B856" s="28"/>
      <c r="C856" s="28"/>
      <c r="D856" s="28"/>
      <c r="E856" s="28"/>
    </row>
    <row r="857" ht="15.75" customHeight="1">
      <c r="A857" s="28"/>
      <c r="B857" s="28"/>
      <c r="C857" s="28"/>
      <c r="D857" s="28"/>
      <c r="E857" s="28"/>
    </row>
    <row r="858" ht="15.75" customHeight="1">
      <c r="A858" s="28"/>
      <c r="B858" s="28"/>
      <c r="C858" s="28"/>
      <c r="D858" s="28"/>
      <c r="E858" s="28"/>
    </row>
    <row r="859" ht="15.75" customHeight="1">
      <c r="A859" s="28"/>
      <c r="B859" s="28"/>
      <c r="C859" s="28"/>
      <c r="D859" s="28"/>
      <c r="E859" s="28"/>
    </row>
    <row r="860" ht="15.75" customHeight="1">
      <c r="A860" s="28"/>
      <c r="B860" s="28"/>
      <c r="C860" s="28"/>
      <c r="D860" s="28"/>
      <c r="E860" s="28"/>
    </row>
    <row r="861" ht="15.75" customHeight="1">
      <c r="A861" s="28"/>
      <c r="B861" s="28"/>
      <c r="C861" s="28"/>
      <c r="D861" s="28"/>
      <c r="E861" s="28"/>
    </row>
    <row r="862" ht="15.75" customHeight="1">
      <c r="A862" s="28"/>
      <c r="B862" s="28"/>
      <c r="C862" s="28"/>
      <c r="D862" s="28"/>
      <c r="E862" s="28"/>
    </row>
    <row r="863" ht="15.75" customHeight="1">
      <c r="A863" s="28"/>
      <c r="B863" s="28"/>
      <c r="C863" s="28"/>
      <c r="D863" s="28"/>
      <c r="E863" s="28"/>
    </row>
    <row r="864" ht="15.75" customHeight="1">
      <c r="A864" s="28"/>
      <c r="B864" s="28"/>
      <c r="C864" s="28"/>
      <c r="D864" s="28"/>
      <c r="E864" s="28"/>
    </row>
    <row r="865" ht="15.75" customHeight="1">
      <c r="A865" s="28"/>
      <c r="B865" s="28"/>
      <c r="C865" s="28"/>
      <c r="D865" s="28"/>
      <c r="E865" s="28"/>
    </row>
    <row r="866" ht="15.75" customHeight="1">
      <c r="A866" s="28"/>
      <c r="B866" s="28"/>
      <c r="C866" s="28"/>
      <c r="D866" s="28"/>
      <c r="E866" s="28"/>
    </row>
    <row r="867" ht="15.75" customHeight="1">
      <c r="A867" s="28"/>
      <c r="B867" s="28"/>
      <c r="C867" s="28"/>
      <c r="D867" s="28"/>
      <c r="E867" s="28"/>
    </row>
    <row r="868" ht="15.75" customHeight="1">
      <c r="A868" s="28"/>
      <c r="B868" s="28"/>
      <c r="C868" s="28"/>
      <c r="D868" s="28"/>
      <c r="E868" s="28"/>
    </row>
    <row r="869" ht="15.75" customHeight="1">
      <c r="A869" s="28"/>
      <c r="B869" s="28"/>
      <c r="C869" s="28"/>
      <c r="D869" s="28"/>
      <c r="E869" s="28"/>
    </row>
    <row r="870" ht="15.75" customHeight="1">
      <c r="A870" s="28"/>
      <c r="B870" s="28"/>
      <c r="C870" s="28"/>
      <c r="D870" s="28"/>
      <c r="E870" s="28"/>
    </row>
    <row r="871" ht="15.75" customHeight="1">
      <c r="A871" s="28"/>
      <c r="B871" s="28"/>
      <c r="C871" s="28"/>
      <c r="D871" s="28"/>
      <c r="E871" s="28"/>
    </row>
    <row r="872" ht="15.75" customHeight="1">
      <c r="A872" s="28"/>
      <c r="B872" s="28"/>
      <c r="C872" s="28"/>
      <c r="D872" s="28"/>
      <c r="E872" s="28"/>
    </row>
    <row r="873" ht="15.75" customHeight="1">
      <c r="A873" s="28"/>
      <c r="B873" s="28"/>
      <c r="C873" s="28"/>
      <c r="D873" s="28"/>
      <c r="E873" s="28"/>
    </row>
    <row r="874" ht="15.75" customHeight="1">
      <c r="A874" s="28"/>
      <c r="B874" s="28"/>
      <c r="C874" s="28"/>
      <c r="D874" s="28"/>
      <c r="E874" s="28"/>
    </row>
    <row r="875" ht="15.75" customHeight="1">
      <c r="A875" s="28"/>
      <c r="B875" s="28"/>
      <c r="C875" s="28"/>
      <c r="D875" s="28"/>
      <c r="E875" s="28"/>
    </row>
    <row r="876" ht="15.75" customHeight="1">
      <c r="A876" s="28"/>
      <c r="B876" s="28"/>
      <c r="C876" s="28"/>
      <c r="D876" s="28"/>
      <c r="E876" s="28"/>
    </row>
    <row r="877" ht="15.75" customHeight="1">
      <c r="A877" s="28"/>
      <c r="B877" s="28"/>
      <c r="C877" s="28"/>
      <c r="D877" s="28"/>
      <c r="E877" s="28"/>
    </row>
    <row r="878" ht="15.75" customHeight="1">
      <c r="A878" s="28"/>
      <c r="B878" s="28"/>
      <c r="C878" s="28"/>
      <c r="D878" s="28"/>
      <c r="E878" s="28"/>
    </row>
    <row r="879" ht="15.75" customHeight="1">
      <c r="A879" s="28"/>
      <c r="B879" s="28"/>
      <c r="C879" s="28"/>
      <c r="D879" s="28"/>
      <c r="E879" s="28"/>
    </row>
    <row r="880" ht="15.75" customHeight="1">
      <c r="A880" s="28"/>
      <c r="B880" s="28"/>
      <c r="C880" s="28"/>
      <c r="D880" s="28"/>
      <c r="E880" s="28"/>
    </row>
    <row r="881" ht="15.75" customHeight="1">
      <c r="A881" s="28"/>
      <c r="B881" s="28"/>
      <c r="C881" s="28"/>
      <c r="D881" s="28"/>
      <c r="E881" s="28"/>
    </row>
    <row r="882" ht="15.75" customHeight="1">
      <c r="A882" s="28"/>
      <c r="B882" s="28"/>
      <c r="C882" s="28"/>
      <c r="D882" s="28"/>
      <c r="E882" s="28"/>
    </row>
    <row r="883" ht="15.75" customHeight="1">
      <c r="A883" s="28"/>
      <c r="B883" s="28"/>
      <c r="C883" s="28"/>
      <c r="D883" s="28"/>
      <c r="E883" s="28"/>
    </row>
    <row r="884" ht="15.75" customHeight="1">
      <c r="A884" s="28"/>
      <c r="B884" s="28"/>
      <c r="C884" s="28"/>
      <c r="D884" s="28"/>
      <c r="E884" s="28"/>
    </row>
    <row r="885" ht="15.75" customHeight="1">
      <c r="A885" s="28"/>
      <c r="B885" s="28"/>
      <c r="C885" s="28"/>
      <c r="D885" s="28"/>
      <c r="E885" s="28"/>
    </row>
    <row r="886" ht="15.75" customHeight="1">
      <c r="A886" s="28"/>
      <c r="B886" s="28"/>
      <c r="C886" s="28"/>
      <c r="D886" s="28"/>
      <c r="E886" s="28"/>
    </row>
    <row r="887" ht="15.75" customHeight="1">
      <c r="A887" s="28"/>
      <c r="B887" s="28"/>
      <c r="C887" s="28"/>
      <c r="D887" s="28"/>
      <c r="E887" s="28"/>
    </row>
    <row r="888" ht="15.75" customHeight="1">
      <c r="A888" s="28"/>
      <c r="B888" s="28"/>
      <c r="C888" s="28"/>
      <c r="D888" s="28"/>
      <c r="E888" s="28"/>
    </row>
    <row r="889" ht="15.75" customHeight="1">
      <c r="A889" s="28"/>
      <c r="B889" s="28"/>
      <c r="C889" s="28"/>
      <c r="D889" s="28"/>
      <c r="E889" s="28"/>
    </row>
    <row r="890" ht="15.75" customHeight="1">
      <c r="A890" s="28"/>
      <c r="B890" s="28"/>
      <c r="C890" s="28"/>
      <c r="D890" s="28"/>
      <c r="E890" s="28"/>
    </row>
    <row r="891" ht="15.75" customHeight="1">
      <c r="A891" s="28"/>
      <c r="B891" s="28"/>
      <c r="C891" s="28"/>
      <c r="D891" s="28"/>
      <c r="E891" s="28"/>
    </row>
    <row r="892" ht="15.75" customHeight="1">
      <c r="A892" s="28"/>
      <c r="B892" s="28"/>
      <c r="C892" s="28"/>
      <c r="D892" s="28"/>
      <c r="E892" s="28"/>
    </row>
    <row r="893" ht="15.75" customHeight="1">
      <c r="A893" s="28"/>
      <c r="B893" s="28"/>
      <c r="C893" s="28"/>
      <c r="D893" s="28"/>
      <c r="E893" s="28"/>
    </row>
    <row r="894" ht="15.75" customHeight="1">
      <c r="A894" s="28"/>
      <c r="B894" s="28"/>
      <c r="C894" s="28"/>
      <c r="D894" s="28"/>
      <c r="E894" s="28"/>
    </row>
    <row r="895" ht="15.75" customHeight="1">
      <c r="A895" s="28"/>
      <c r="B895" s="28"/>
      <c r="C895" s="28"/>
      <c r="D895" s="28"/>
      <c r="E895" s="28"/>
    </row>
    <row r="896" ht="15.75" customHeight="1">
      <c r="A896" s="28"/>
      <c r="B896" s="28"/>
      <c r="C896" s="28"/>
      <c r="D896" s="28"/>
      <c r="E896" s="28"/>
    </row>
    <row r="897" ht="15.75" customHeight="1">
      <c r="A897" s="28"/>
      <c r="B897" s="28"/>
      <c r="C897" s="28"/>
      <c r="D897" s="28"/>
      <c r="E897" s="28"/>
    </row>
    <row r="898" ht="15.75" customHeight="1">
      <c r="A898" s="28"/>
      <c r="B898" s="28"/>
      <c r="C898" s="28"/>
      <c r="D898" s="28"/>
      <c r="E898" s="28"/>
    </row>
    <row r="899" ht="15.75" customHeight="1">
      <c r="A899" s="28"/>
      <c r="B899" s="28"/>
      <c r="C899" s="28"/>
      <c r="D899" s="28"/>
      <c r="E899" s="28"/>
    </row>
    <row r="900" ht="15.75" customHeight="1">
      <c r="A900" s="28"/>
      <c r="B900" s="28"/>
      <c r="C900" s="28"/>
      <c r="D900" s="28"/>
      <c r="E900" s="28"/>
    </row>
    <row r="901" ht="15.75" customHeight="1">
      <c r="A901" s="28"/>
      <c r="B901" s="28"/>
      <c r="C901" s="28"/>
      <c r="D901" s="28"/>
      <c r="E901" s="28"/>
    </row>
    <row r="902" ht="15.75" customHeight="1">
      <c r="A902" s="28"/>
      <c r="B902" s="28"/>
      <c r="C902" s="28"/>
      <c r="D902" s="28"/>
      <c r="E902" s="28"/>
    </row>
    <row r="903" ht="15.75" customHeight="1">
      <c r="A903" s="28"/>
      <c r="B903" s="28"/>
      <c r="C903" s="28"/>
      <c r="D903" s="28"/>
      <c r="E903" s="28"/>
    </row>
    <row r="904" ht="15.75" customHeight="1">
      <c r="A904" s="28"/>
      <c r="B904" s="28"/>
      <c r="C904" s="28"/>
      <c r="D904" s="28"/>
      <c r="E904" s="28"/>
    </row>
    <row r="905" ht="15.75" customHeight="1">
      <c r="A905" s="28"/>
      <c r="B905" s="28"/>
      <c r="C905" s="28"/>
      <c r="D905" s="28"/>
      <c r="E905" s="28"/>
    </row>
    <row r="906" ht="15.75" customHeight="1">
      <c r="A906" s="28"/>
      <c r="B906" s="28"/>
      <c r="C906" s="28"/>
      <c r="D906" s="28"/>
      <c r="E906" s="28"/>
    </row>
    <row r="907" ht="15.75" customHeight="1">
      <c r="A907" s="28"/>
      <c r="B907" s="28"/>
      <c r="C907" s="28"/>
      <c r="D907" s="28"/>
      <c r="E907" s="28"/>
    </row>
    <row r="908" ht="15.75" customHeight="1">
      <c r="A908" s="28"/>
      <c r="B908" s="28"/>
      <c r="C908" s="28"/>
      <c r="D908" s="28"/>
      <c r="E908" s="28"/>
    </row>
    <row r="909" ht="15.75" customHeight="1">
      <c r="A909" s="28"/>
      <c r="B909" s="28"/>
      <c r="C909" s="28"/>
      <c r="D909" s="28"/>
      <c r="E909" s="28"/>
    </row>
    <row r="910" ht="15.75" customHeight="1">
      <c r="A910" s="28"/>
      <c r="B910" s="28"/>
      <c r="C910" s="28"/>
      <c r="D910" s="28"/>
      <c r="E910" s="28"/>
    </row>
    <row r="911" ht="15.75" customHeight="1">
      <c r="A911" s="28"/>
      <c r="B911" s="28"/>
      <c r="C911" s="28"/>
      <c r="D911" s="28"/>
      <c r="E911" s="28"/>
    </row>
    <row r="912" ht="15.75" customHeight="1">
      <c r="A912" s="28"/>
      <c r="B912" s="28"/>
      <c r="C912" s="28"/>
      <c r="D912" s="28"/>
      <c r="E912" s="28"/>
    </row>
    <row r="913" ht="15.75" customHeight="1">
      <c r="A913" s="28"/>
      <c r="B913" s="28"/>
      <c r="C913" s="28"/>
      <c r="D913" s="28"/>
      <c r="E913" s="28"/>
    </row>
    <row r="914" ht="15.75" customHeight="1">
      <c r="A914" s="28"/>
      <c r="B914" s="28"/>
      <c r="C914" s="28"/>
      <c r="D914" s="28"/>
      <c r="E914" s="28"/>
    </row>
    <row r="915" ht="15.75" customHeight="1">
      <c r="A915" s="28"/>
      <c r="B915" s="28"/>
      <c r="C915" s="28"/>
      <c r="D915" s="28"/>
      <c r="E915" s="28"/>
    </row>
    <row r="916" ht="15.75" customHeight="1">
      <c r="A916" s="28"/>
      <c r="B916" s="28"/>
      <c r="C916" s="28"/>
      <c r="D916" s="28"/>
      <c r="E916" s="28"/>
    </row>
    <row r="917" ht="15.75" customHeight="1">
      <c r="A917" s="28"/>
      <c r="B917" s="28"/>
      <c r="C917" s="28"/>
      <c r="D917" s="28"/>
      <c r="E917" s="28"/>
    </row>
    <row r="918" ht="15.75" customHeight="1">
      <c r="A918" s="28"/>
      <c r="B918" s="28"/>
      <c r="C918" s="28"/>
      <c r="D918" s="28"/>
      <c r="E918" s="28"/>
    </row>
    <row r="919" ht="15.75" customHeight="1">
      <c r="A919" s="28"/>
      <c r="B919" s="28"/>
      <c r="C919" s="28"/>
      <c r="D919" s="28"/>
      <c r="E919" s="28"/>
    </row>
    <row r="920" ht="15.75" customHeight="1">
      <c r="A920" s="28"/>
      <c r="B920" s="28"/>
      <c r="C920" s="28"/>
      <c r="D920" s="28"/>
      <c r="E920" s="28"/>
    </row>
    <row r="921" ht="15.75" customHeight="1">
      <c r="A921" s="28"/>
      <c r="B921" s="28"/>
      <c r="C921" s="28"/>
      <c r="D921" s="28"/>
      <c r="E921" s="28"/>
    </row>
    <row r="922" ht="15.75" customHeight="1">
      <c r="A922" s="28"/>
      <c r="B922" s="28"/>
      <c r="C922" s="28"/>
      <c r="D922" s="28"/>
      <c r="E922" s="28"/>
    </row>
    <row r="923" ht="15.75" customHeight="1">
      <c r="A923" s="28"/>
      <c r="B923" s="28"/>
      <c r="C923" s="28"/>
      <c r="D923" s="28"/>
      <c r="E923" s="28"/>
    </row>
    <row r="924" ht="15.75" customHeight="1">
      <c r="A924" s="28"/>
      <c r="B924" s="28"/>
      <c r="C924" s="28"/>
      <c r="D924" s="28"/>
      <c r="E924" s="28"/>
    </row>
    <row r="925" ht="15.75" customHeight="1">
      <c r="A925" s="28"/>
      <c r="B925" s="28"/>
      <c r="C925" s="28"/>
      <c r="D925" s="28"/>
      <c r="E925" s="28"/>
    </row>
    <row r="926" ht="15.75" customHeight="1">
      <c r="A926" s="28"/>
      <c r="B926" s="28"/>
      <c r="C926" s="28"/>
      <c r="D926" s="28"/>
      <c r="E926" s="28"/>
    </row>
    <row r="927" ht="15.75" customHeight="1">
      <c r="A927" s="28"/>
      <c r="B927" s="28"/>
      <c r="C927" s="28"/>
      <c r="D927" s="28"/>
      <c r="E927" s="28"/>
    </row>
    <row r="928" ht="15.75" customHeight="1">
      <c r="A928" s="28"/>
      <c r="B928" s="28"/>
      <c r="C928" s="28"/>
      <c r="D928" s="28"/>
      <c r="E928" s="28"/>
    </row>
    <row r="929" ht="15.75" customHeight="1">
      <c r="A929" s="28"/>
      <c r="B929" s="28"/>
      <c r="C929" s="28"/>
      <c r="D929" s="28"/>
      <c r="E929" s="28"/>
    </row>
    <row r="930" ht="15.75" customHeight="1">
      <c r="A930" s="28"/>
      <c r="B930" s="28"/>
      <c r="C930" s="28"/>
      <c r="D930" s="28"/>
      <c r="E930" s="28"/>
    </row>
    <row r="931" ht="15.75" customHeight="1">
      <c r="A931" s="28"/>
      <c r="B931" s="28"/>
      <c r="C931" s="28"/>
      <c r="D931" s="28"/>
      <c r="E931" s="28"/>
    </row>
    <row r="932" ht="15.75" customHeight="1">
      <c r="A932" s="28"/>
      <c r="B932" s="28"/>
      <c r="C932" s="28"/>
      <c r="D932" s="28"/>
      <c r="E932" s="28"/>
    </row>
    <row r="933" ht="15.75" customHeight="1">
      <c r="A933" s="28"/>
      <c r="B933" s="28"/>
      <c r="C933" s="28"/>
      <c r="D933" s="28"/>
      <c r="E933" s="28"/>
    </row>
    <row r="934" ht="15.75" customHeight="1">
      <c r="A934" s="28"/>
      <c r="B934" s="28"/>
      <c r="C934" s="28"/>
      <c r="D934" s="28"/>
      <c r="E934" s="28"/>
    </row>
    <row r="935" ht="15.75" customHeight="1">
      <c r="A935" s="28"/>
      <c r="B935" s="28"/>
      <c r="C935" s="28"/>
      <c r="D935" s="28"/>
      <c r="E935" s="28"/>
    </row>
    <row r="936" ht="15.75" customHeight="1">
      <c r="A936" s="28"/>
      <c r="B936" s="28"/>
      <c r="C936" s="28"/>
      <c r="D936" s="28"/>
      <c r="E936" s="28"/>
    </row>
    <row r="937" ht="15.75" customHeight="1">
      <c r="A937" s="28"/>
      <c r="B937" s="28"/>
      <c r="C937" s="28"/>
      <c r="D937" s="28"/>
      <c r="E937" s="28"/>
    </row>
    <row r="938" ht="15.75" customHeight="1">
      <c r="A938" s="28"/>
      <c r="B938" s="28"/>
      <c r="C938" s="28"/>
      <c r="D938" s="28"/>
      <c r="E938" s="28"/>
    </row>
    <row r="939" ht="15.75" customHeight="1">
      <c r="A939" s="28"/>
      <c r="B939" s="28"/>
      <c r="C939" s="28"/>
      <c r="D939" s="28"/>
      <c r="E939" s="28"/>
    </row>
    <row r="940" ht="15.75" customHeight="1">
      <c r="A940" s="28"/>
      <c r="B940" s="28"/>
      <c r="C940" s="28"/>
      <c r="D940" s="28"/>
      <c r="E940" s="28"/>
    </row>
    <row r="941" ht="15.75" customHeight="1">
      <c r="A941" s="28"/>
      <c r="B941" s="28"/>
      <c r="C941" s="28"/>
      <c r="D941" s="28"/>
      <c r="E941" s="28"/>
    </row>
    <row r="942" ht="15.75" customHeight="1">
      <c r="A942" s="28"/>
      <c r="B942" s="28"/>
      <c r="C942" s="28"/>
      <c r="D942" s="28"/>
      <c r="E942" s="28"/>
    </row>
    <row r="943" ht="15.75" customHeight="1">
      <c r="A943" s="28"/>
      <c r="B943" s="28"/>
      <c r="C943" s="28"/>
      <c r="D943" s="28"/>
      <c r="E943" s="28"/>
    </row>
    <row r="944" ht="15.75" customHeight="1">
      <c r="A944" s="28"/>
      <c r="B944" s="28"/>
      <c r="C944" s="28"/>
      <c r="D944" s="28"/>
      <c r="E944" s="28"/>
    </row>
    <row r="945" ht="15.75" customHeight="1">
      <c r="A945" s="28"/>
      <c r="B945" s="28"/>
      <c r="C945" s="28"/>
      <c r="D945" s="28"/>
      <c r="E945" s="28"/>
    </row>
    <row r="946" ht="15.75" customHeight="1">
      <c r="A946" s="28"/>
      <c r="B946" s="28"/>
      <c r="C946" s="28"/>
      <c r="D946" s="28"/>
      <c r="E946" s="28"/>
    </row>
    <row r="947" ht="15.75" customHeight="1">
      <c r="A947" s="28"/>
      <c r="B947" s="28"/>
      <c r="C947" s="28"/>
      <c r="D947" s="28"/>
      <c r="E947" s="28"/>
    </row>
    <row r="948" ht="15.75" customHeight="1">
      <c r="A948" s="28"/>
      <c r="B948" s="28"/>
      <c r="C948" s="28"/>
      <c r="D948" s="28"/>
      <c r="E948" s="28"/>
    </row>
    <row r="949" ht="15.75" customHeight="1">
      <c r="A949" s="28"/>
      <c r="B949" s="28"/>
      <c r="C949" s="28"/>
      <c r="D949" s="28"/>
      <c r="E949" s="28"/>
    </row>
    <row r="950" ht="15.75" customHeight="1">
      <c r="A950" s="28"/>
      <c r="B950" s="28"/>
      <c r="C950" s="28"/>
      <c r="D950" s="28"/>
      <c r="E950" s="28"/>
    </row>
    <row r="951" ht="15.75" customHeight="1">
      <c r="A951" s="28"/>
      <c r="B951" s="28"/>
      <c r="C951" s="28"/>
      <c r="D951" s="28"/>
      <c r="E951" s="28"/>
    </row>
    <row r="952" ht="15.75" customHeight="1">
      <c r="A952" s="28"/>
      <c r="B952" s="28"/>
      <c r="C952" s="28"/>
      <c r="D952" s="28"/>
      <c r="E952" s="28"/>
    </row>
    <row r="953" ht="15.75" customHeight="1">
      <c r="A953" s="28"/>
      <c r="B953" s="28"/>
      <c r="C953" s="28"/>
      <c r="D953" s="28"/>
      <c r="E953" s="28"/>
    </row>
    <row r="954" ht="15.75" customHeight="1">
      <c r="A954" s="28"/>
      <c r="B954" s="28"/>
      <c r="C954" s="28"/>
      <c r="D954" s="28"/>
      <c r="E954" s="28"/>
    </row>
    <row r="955" ht="15.75" customHeight="1">
      <c r="A955" s="28"/>
      <c r="B955" s="28"/>
      <c r="C955" s="28"/>
      <c r="D955" s="28"/>
      <c r="E955" s="28"/>
    </row>
    <row r="956" ht="15.75" customHeight="1">
      <c r="A956" s="28"/>
      <c r="B956" s="28"/>
      <c r="C956" s="28"/>
      <c r="D956" s="28"/>
      <c r="E956" s="28"/>
    </row>
    <row r="957" ht="15.75" customHeight="1">
      <c r="A957" s="28"/>
      <c r="B957" s="28"/>
      <c r="C957" s="28"/>
      <c r="D957" s="28"/>
      <c r="E957" s="28"/>
    </row>
    <row r="958" ht="15.75" customHeight="1">
      <c r="A958" s="28"/>
      <c r="B958" s="28"/>
      <c r="C958" s="28"/>
      <c r="D958" s="28"/>
      <c r="E958" s="28"/>
    </row>
    <row r="959" ht="15.75" customHeight="1">
      <c r="A959" s="28"/>
      <c r="B959" s="28"/>
      <c r="C959" s="28"/>
      <c r="D959" s="28"/>
      <c r="E959" s="28"/>
    </row>
    <row r="960" ht="15.75" customHeight="1">
      <c r="A960" s="28"/>
      <c r="B960" s="28"/>
      <c r="C960" s="28"/>
      <c r="D960" s="28"/>
      <c r="E960" s="28"/>
    </row>
    <row r="961" ht="15.75" customHeight="1">
      <c r="A961" s="28"/>
      <c r="B961" s="28"/>
      <c r="C961" s="28"/>
      <c r="D961" s="28"/>
      <c r="E961" s="28"/>
    </row>
    <row r="962" ht="15.75" customHeight="1">
      <c r="A962" s="28"/>
      <c r="B962" s="28"/>
      <c r="C962" s="28"/>
      <c r="D962" s="28"/>
      <c r="E962" s="28"/>
    </row>
    <row r="963" ht="15.75" customHeight="1">
      <c r="A963" s="28"/>
      <c r="B963" s="28"/>
      <c r="C963" s="28"/>
      <c r="D963" s="28"/>
      <c r="E963" s="28"/>
    </row>
    <row r="964" ht="15.75" customHeight="1">
      <c r="A964" s="28"/>
      <c r="B964" s="28"/>
      <c r="C964" s="28"/>
      <c r="D964" s="28"/>
      <c r="E964" s="28"/>
    </row>
    <row r="965" ht="15.75" customHeight="1">
      <c r="A965" s="28"/>
      <c r="B965" s="28"/>
      <c r="C965" s="28"/>
      <c r="D965" s="28"/>
      <c r="E965" s="28"/>
    </row>
    <row r="966" ht="15.75" customHeight="1">
      <c r="A966" s="28"/>
      <c r="B966" s="28"/>
      <c r="C966" s="28"/>
      <c r="D966" s="28"/>
      <c r="E966" s="28"/>
    </row>
    <row r="967" ht="15.75" customHeight="1">
      <c r="A967" s="28"/>
      <c r="B967" s="28"/>
      <c r="C967" s="28"/>
      <c r="D967" s="28"/>
      <c r="E967" s="28"/>
    </row>
    <row r="968" ht="15.75" customHeight="1">
      <c r="A968" s="28"/>
      <c r="B968" s="28"/>
      <c r="C968" s="28"/>
      <c r="D968" s="28"/>
      <c r="E968" s="28"/>
    </row>
    <row r="969" ht="15.75" customHeight="1">
      <c r="A969" s="28"/>
      <c r="B969" s="28"/>
      <c r="C969" s="28"/>
      <c r="D969" s="28"/>
      <c r="E969" s="28"/>
    </row>
    <row r="970" ht="15.75" customHeight="1">
      <c r="A970" s="28"/>
      <c r="B970" s="28"/>
      <c r="C970" s="28"/>
      <c r="D970" s="28"/>
      <c r="E970" s="28"/>
    </row>
    <row r="971" ht="15.75" customHeight="1">
      <c r="A971" s="28"/>
      <c r="B971" s="28"/>
      <c r="C971" s="28"/>
      <c r="D971" s="28"/>
      <c r="E971" s="28"/>
    </row>
    <row r="972" ht="15.75" customHeight="1">
      <c r="A972" s="28"/>
      <c r="B972" s="28"/>
      <c r="C972" s="28"/>
      <c r="D972" s="28"/>
      <c r="E972" s="28"/>
    </row>
    <row r="973" ht="15.75" customHeight="1">
      <c r="A973" s="28"/>
      <c r="B973" s="28"/>
      <c r="C973" s="28"/>
      <c r="D973" s="28"/>
      <c r="E973" s="28"/>
    </row>
    <row r="974" ht="15.75" customHeight="1">
      <c r="A974" s="28"/>
      <c r="B974" s="28"/>
      <c r="C974" s="28"/>
      <c r="D974" s="28"/>
      <c r="E974" s="28"/>
    </row>
    <row r="975" ht="15.75" customHeight="1">
      <c r="A975" s="28"/>
      <c r="B975" s="28"/>
      <c r="C975" s="28"/>
      <c r="D975" s="28"/>
      <c r="E975" s="28"/>
    </row>
    <row r="976" ht="15.75" customHeight="1">
      <c r="A976" s="28"/>
      <c r="B976" s="28"/>
      <c r="C976" s="28"/>
      <c r="D976" s="28"/>
      <c r="E976" s="28"/>
    </row>
    <row r="977" ht="15.75" customHeight="1">
      <c r="A977" s="28"/>
      <c r="B977" s="28"/>
      <c r="C977" s="28"/>
      <c r="D977" s="28"/>
      <c r="E977" s="28"/>
    </row>
    <row r="978" ht="15.75" customHeight="1">
      <c r="A978" s="28"/>
      <c r="B978" s="28"/>
      <c r="C978" s="28"/>
      <c r="D978" s="28"/>
      <c r="E978" s="28"/>
    </row>
    <row r="979" ht="15.75" customHeight="1">
      <c r="A979" s="28"/>
      <c r="B979" s="28"/>
      <c r="C979" s="28"/>
      <c r="D979" s="28"/>
      <c r="E979" s="28"/>
    </row>
    <row r="980" ht="15.75" customHeight="1">
      <c r="A980" s="28"/>
      <c r="B980" s="28"/>
      <c r="C980" s="28"/>
      <c r="D980" s="28"/>
      <c r="E980" s="28"/>
    </row>
    <row r="981" ht="15.75" customHeight="1">
      <c r="A981" s="28"/>
      <c r="B981" s="28"/>
      <c r="C981" s="28"/>
      <c r="D981" s="28"/>
      <c r="E981" s="28"/>
    </row>
    <row r="982" ht="15.75" customHeight="1">
      <c r="A982" s="28"/>
      <c r="B982" s="28"/>
      <c r="C982" s="28"/>
      <c r="D982" s="28"/>
      <c r="E982" s="28"/>
    </row>
    <row r="983" ht="15.75" customHeight="1">
      <c r="A983" s="28"/>
      <c r="B983" s="28"/>
      <c r="C983" s="28"/>
      <c r="D983" s="28"/>
      <c r="E983" s="28"/>
    </row>
    <row r="984" ht="15.75" customHeight="1">
      <c r="A984" s="28"/>
      <c r="B984" s="28"/>
      <c r="C984" s="28"/>
      <c r="D984" s="28"/>
      <c r="E984" s="28"/>
    </row>
    <row r="985" ht="15.75" customHeight="1">
      <c r="A985" s="28"/>
      <c r="B985" s="28"/>
      <c r="C985" s="28"/>
      <c r="D985" s="28"/>
      <c r="E985" s="28"/>
    </row>
    <row r="986" ht="15.75" customHeight="1">
      <c r="A986" s="28"/>
      <c r="B986" s="28"/>
      <c r="C986" s="28"/>
      <c r="D986" s="28"/>
      <c r="E986" s="28"/>
    </row>
    <row r="987" ht="15.75" customHeight="1">
      <c r="A987" s="28"/>
      <c r="B987" s="28"/>
      <c r="C987" s="28"/>
      <c r="D987" s="28"/>
      <c r="E987" s="28"/>
    </row>
    <row r="988" ht="15.75" customHeight="1">
      <c r="A988" s="28"/>
      <c r="B988" s="28"/>
      <c r="C988" s="28"/>
      <c r="D988" s="28"/>
      <c r="E988" s="28"/>
    </row>
    <row r="989" ht="15.75" customHeight="1">
      <c r="A989" s="28"/>
      <c r="B989" s="28"/>
      <c r="C989" s="28"/>
      <c r="D989" s="28"/>
      <c r="E989" s="28"/>
    </row>
    <row r="990" ht="15.75" customHeight="1">
      <c r="A990" s="28"/>
      <c r="B990" s="28"/>
      <c r="C990" s="28"/>
      <c r="D990" s="28"/>
      <c r="E990" s="28"/>
    </row>
    <row r="991" ht="15.75" customHeight="1">
      <c r="A991" s="28"/>
      <c r="B991" s="28"/>
      <c r="C991" s="28"/>
      <c r="D991" s="28"/>
      <c r="E991" s="28"/>
    </row>
    <row r="992" ht="15.75" customHeight="1">
      <c r="A992" s="28"/>
      <c r="B992" s="28"/>
      <c r="C992" s="28"/>
      <c r="D992" s="28"/>
      <c r="E992" s="28"/>
    </row>
    <row r="993" ht="15.75" customHeight="1">
      <c r="A993" s="28"/>
      <c r="B993" s="28"/>
      <c r="C993" s="28"/>
      <c r="D993" s="28"/>
      <c r="E993" s="28"/>
    </row>
    <row r="994" ht="15.75" customHeight="1">
      <c r="A994" s="28"/>
      <c r="B994" s="28"/>
      <c r="C994" s="28"/>
      <c r="D994" s="28"/>
      <c r="E994" s="28"/>
    </row>
    <row r="995" ht="15.75" customHeight="1">
      <c r="A995" s="28"/>
      <c r="B995" s="28"/>
      <c r="C995" s="28"/>
      <c r="D995" s="28"/>
      <c r="E995" s="28"/>
    </row>
    <row r="996" ht="15.75" customHeight="1">
      <c r="A996" s="28"/>
      <c r="B996" s="28"/>
      <c r="C996" s="28"/>
      <c r="D996" s="28"/>
      <c r="E996" s="28"/>
    </row>
    <row r="997" ht="15.75" customHeight="1">
      <c r="A997" s="28"/>
      <c r="B997" s="28"/>
      <c r="C997" s="28"/>
      <c r="D997" s="28"/>
      <c r="E997" s="28"/>
    </row>
    <row r="998" ht="15.75" customHeight="1">
      <c r="A998" s="28"/>
      <c r="B998" s="28"/>
      <c r="C998" s="28"/>
      <c r="D998" s="28"/>
      <c r="E998" s="28"/>
    </row>
    <row r="999" ht="15.75" customHeight="1">
      <c r="A999" s="28"/>
      <c r="B999" s="28"/>
      <c r="C999" s="28"/>
      <c r="D999" s="28"/>
      <c r="E999" s="28"/>
    </row>
    <row r="1000" ht="15.75" customHeight="1">
      <c r="A1000" s="28"/>
      <c r="B1000" s="28"/>
      <c r="C1000" s="28"/>
      <c r="D1000" s="28"/>
      <c r="E1000" s="28"/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0"/>
  </cols>
  <sheetData>
    <row r="1">
      <c r="A1" s="4" t="s">
        <v>398</v>
      </c>
    </row>
    <row r="2">
      <c r="A2" s="43" t="s">
        <v>82</v>
      </c>
    </row>
    <row r="3">
      <c r="A3" s="43" t="s">
        <v>295</v>
      </c>
    </row>
    <row r="4">
      <c r="A4" s="43" t="s">
        <v>582</v>
      </c>
    </row>
    <row r="5">
      <c r="A5" s="43" t="s">
        <v>457</v>
      </c>
    </row>
    <row r="6">
      <c r="A6" s="43" t="s">
        <v>469</v>
      </c>
    </row>
    <row r="7">
      <c r="A7" s="43" t="s">
        <v>480</v>
      </c>
    </row>
    <row r="8">
      <c r="A8" s="43" t="s">
        <v>477</v>
      </c>
    </row>
    <row r="9">
      <c r="A9" s="43" t="s">
        <v>471</v>
      </c>
    </row>
    <row r="10">
      <c r="A10" s="43" t="s">
        <v>463</v>
      </c>
    </row>
    <row r="11">
      <c r="A11" s="43" t="s">
        <v>536</v>
      </c>
    </row>
    <row r="12">
      <c r="A12" s="43" t="s">
        <v>539</v>
      </c>
    </row>
    <row r="13" ht="15.75" customHeight="1">
      <c r="A13" s="43" t="s">
        <v>531</v>
      </c>
    </row>
    <row r="14" ht="15.75" customHeight="1">
      <c r="A14" s="43" t="s">
        <v>550</v>
      </c>
    </row>
    <row r="15" ht="15.75" customHeight="1">
      <c r="A15" s="43" t="s">
        <v>407</v>
      </c>
    </row>
    <row r="16" ht="15.75" customHeight="1">
      <c r="A16" s="43" t="s">
        <v>356</v>
      </c>
    </row>
    <row r="17" ht="15.75" customHeight="1">
      <c r="A17" s="43" t="s">
        <v>394</v>
      </c>
    </row>
    <row r="18" ht="15.75" customHeight="1">
      <c r="A18" s="43" t="s">
        <v>364</v>
      </c>
    </row>
    <row r="19" ht="15.75" customHeight="1">
      <c r="A19" s="43" t="s">
        <v>359</v>
      </c>
    </row>
    <row r="20" ht="15.75" customHeight="1">
      <c r="A20" s="43" t="s">
        <v>371</v>
      </c>
    </row>
    <row r="21" ht="15.75" customHeight="1">
      <c r="A21" s="43" t="s">
        <v>374</v>
      </c>
    </row>
    <row r="22" ht="15.75" customHeight="1">
      <c r="A22" s="43" t="s">
        <v>369</v>
      </c>
    </row>
    <row r="23" ht="15.75" customHeight="1">
      <c r="A23" s="43" t="s">
        <v>397</v>
      </c>
    </row>
    <row r="24" ht="15.75" customHeight="1">
      <c r="A24" s="43" t="s">
        <v>391</v>
      </c>
    </row>
    <row r="25" ht="15.75" customHeight="1">
      <c r="A25" s="43" t="s">
        <v>376</v>
      </c>
    </row>
    <row r="26" ht="15.75" customHeight="1">
      <c r="A26" s="43" t="s">
        <v>384</v>
      </c>
    </row>
    <row r="27" ht="15.75" customHeight="1">
      <c r="A27" s="43" t="s">
        <v>379</v>
      </c>
    </row>
    <row r="28" ht="15.75" customHeight="1">
      <c r="A28" s="43" t="s">
        <v>366</v>
      </c>
    </row>
    <row r="29" ht="15.75" customHeight="1">
      <c r="A29" s="44" t="s">
        <v>407</v>
      </c>
    </row>
    <row r="30" ht="15.75" customHeight="1">
      <c r="A30" s="43" t="s">
        <v>423</v>
      </c>
    </row>
    <row r="31" ht="15.75" customHeight="1">
      <c r="A31" s="43" t="s">
        <v>441</v>
      </c>
    </row>
    <row r="32" ht="15.75" customHeight="1">
      <c r="A32" s="43" t="s">
        <v>429</v>
      </c>
    </row>
    <row r="33" ht="15.75" customHeight="1">
      <c r="A33" s="43" t="s">
        <v>450</v>
      </c>
    </row>
    <row r="34" ht="15.75" customHeight="1">
      <c r="A34" s="43" t="s">
        <v>454</v>
      </c>
    </row>
    <row r="35" ht="15.75" customHeight="1">
      <c r="A35" s="43" t="s">
        <v>418</v>
      </c>
    </row>
    <row r="36" ht="15.75" customHeight="1">
      <c r="A36" s="43" t="s">
        <v>431</v>
      </c>
    </row>
    <row r="37" ht="15.75" customHeight="1">
      <c r="A37" s="45" t="s">
        <v>588</v>
      </c>
    </row>
    <row r="38" ht="15.75" customHeight="1">
      <c r="A38" s="45" t="s">
        <v>301</v>
      </c>
    </row>
    <row r="39" ht="15.75" customHeight="1">
      <c r="A39" s="46" t="s">
        <v>74</v>
      </c>
    </row>
    <row r="40" ht="15.75" customHeight="1">
      <c r="A40" s="45" t="s">
        <v>514</v>
      </c>
    </row>
    <row r="41" ht="15.75" customHeight="1">
      <c r="A41" s="45" t="s">
        <v>141</v>
      </c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9.71"/>
    <col customWidth="1" min="2" max="3" width="27.0"/>
    <col customWidth="1" min="4" max="4" width="38.14"/>
    <col customWidth="1" min="5" max="5" width="44.43"/>
  </cols>
  <sheetData>
    <row r="1" ht="22.5" customHeight="1">
      <c r="A1" s="51" t="s">
        <v>646</v>
      </c>
      <c r="B1" s="51" t="s">
        <v>647</v>
      </c>
      <c r="C1" s="51" t="s">
        <v>3</v>
      </c>
      <c r="D1" s="51" t="s">
        <v>14</v>
      </c>
      <c r="E1" s="51" t="s">
        <v>46</v>
      </c>
    </row>
    <row r="2" ht="22.5" customHeight="1">
      <c r="A2" s="52"/>
      <c r="B2" s="52"/>
      <c r="C2" s="52"/>
      <c r="D2" s="52"/>
      <c r="E2" s="52"/>
    </row>
    <row r="3" ht="22.5" customHeight="1">
      <c r="A3" s="52"/>
      <c r="B3" s="52"/>
      <c r="C3" s="52"/>
      <c r="D3" s="52"/>
      <c r="E3" s="52"/>
    </row>
    <row r="4" ht="22.5" customHeight="1">
      <c r="A4" s="52"/>
      <c r="B4" s="52"/>
      <c r="C4" s="52"/>
      <c r="D4" s="52"/>
      <c r="E4" s="52"/>
    </row>
    <row r="5" ht="22.5" customHeight="1">
      <c r="A5" s="52"/>
      <c r="B5" s="52"/>
      <c r="C5" s="52"/>
      <c r="D5" s="52"/>
      <c r="E5" s="52"/>
    </row>
    <row r="6" ht="22.5" customHeight="1">
      <c r="A6" s="52"/>
      <c r="B6" s="52"/>
      <c r="C6" s="52"/>
      <c r="D6" s="52"/>
      <c r="E6" s="52"/>
    </row>
    <row r="7" ht="22.5" customHeight="1">
      <c r="A7" s="52"/>
      <c r="B7" s="52"/>
      <c r="C7" s="52"/>
      <c r="D7" s="52"/>
      <c r="E7" s="52"/>
    </row>
    <row r="8" ht="22.5" customHeight="1">
      <c r="A8" s="52"/>
      <c r="B8" s="52"/>
      <c r="C8" s="52"/>
      <c r="D8" s="52"/>
      <c r="E8" s="52"/>
    </row>
    <row r="9" ht="22.5" customHeight="1">
      <c r="A9" s="52"/>
      <c r="B9" s="52"/>
      <c r="C9" s="52"/>
      <c r="D9" s="52"/>
      <c r="E9" s="52"/>
    </row>
    <row r="10" ht="22.5" customHeight="1">
      <c r="A10" s="52"/>
      <c r="B10" s="52"/>
      <c r="C10" s="52"/>
      <c r="D10" s="52"/>
      <c r="E10" s="52"/>
    </row>
    <row r="11" ht="22.5" customHeight="1">
      <c r="A11" s="52"/>
      <c r="B11" s="52"/>
      <c r="C11" s="52"/>
      <c r="D11" s="52"/>
      <c r="E11" s="52"/>
    </row>
    <row r="12" ht="22.5" customHeight="1">
      <c r="A12" s="52"/>
      <c r="B12" s="52"/>
      <c r="C12" s="52"/>
      <c r="D12" s="52"/>
      <c r="E12" s="52"/>
    </row>
    <row r="13" ht="22.5" customHeight="1">
      <c r="A13" s="52"/>
      <c r="B13" s="52"/>
      <c r="C13" s="52"/>
      <c r="D13" s="52"/>
      <c r="E13" s="52"/>
    </row>
    <row r="14" ht="22.5" customHeight="1">
      <c r="A14" s="52"/>
      <c r="B14" s="52"/>
      <c r="C14" s="52"/>
      <c r="D14" s="52"/>
      <c r="E14" s="52"/>
    </row>
    <row r="15" ht="22.5" customHeight="1">
      <c r="A15" s="52"/>
      <c r="B15" s="52"/>
      <c r="C15" s="52"/>
      <c r="D15" s="52"/>
      <c r="E15" s="52"/>
    </row>
    <row r="16" ht="22.5" customHeight="1">
      <c r="A16" s="52"/>
      <c r="B16" s="52"/>
      <c r="C16" s="52"/>
      <c r="D16" s="52"/>
      <c r="E16" s="52"/>
    </row>
    <row r="17" ht="22.5" customHeight="1">
      <c r="A17" s="52"/>
      <c r="B17" s="52"/>
      <c r="C17" s="52"/>
      <c r="D17" s="52"/>
      <c r="E17" s="52"/>
    </row>
    <row r="18" ht="15.75" customHeight="1">
      <c r="A18" s="52"/>
      <c r="B18" s="52"/>
      <c r="C18" s="52"/>
      <c r="D18" s="52"/>
      <c r="E18" s="52"/>
    </row>
    <row r="19" ht="15.75" customHeight="1">
      <c r="A19" s="52"/>
      <c r="B19" s="52"/>
      <c r="C19" s="52"/>
      <c r="D19" s="52"/>
      <c r="E19" s="52"/>
    </row>
    <row r="20" ht="15.75" customHeight="1">
      <c r="A20" s="52"/>
      <c r="B20" s="52"/>
      <c r="C20" s="52"/>
      <c r="D20" s="52"/>
      <c r="E20" s="52"/>
    </row>
    <row r="21" ht="15.75" customHeight="1">
      <c r="A21" s="52"/>
      <c r="B21" s="52"/>
      <c r="C21" s="52"/>
      <c r="D21" s="52"/>
      <c r="E21" s="52"/>
    </row>
    <row r="22" ht="22.5" customHeight="1">
      <c r="A22" s="52"/>
      <c r="B22" s="52"/>
      <c r="C22" s="52"/>
      <c r="D22" s="52"/>
      <c r="E22" s="52"/>
    </row>
    <row r="23" ht="15.75" customHeight="1">
      <c r="A23" s="52"/>
      <c r="B23" s="52"/>
      <c r="C23" s="52"/>
      <c r="D23" s="52"/>
      <c r="E23" s="52"/>
    </row>
    <row r="24" ht="15.75" customHeight="1">
      <c r="A24" s="52"/>
      <c r="B24" s="52"/>
      <c r="C24" s="52"/>
      <c r="D24" s="52"/>
      <c r="E24" s="52"/>
    </row>
    <row r="25" ht="15.75" customHeight="1">
      <c r="A25" s="52"/>
      <c r="B25" s="52"/>
      <c r="C25" s="52"/>
      <c r="D25" s="52"/>
      <c r="E25" s="52"/>
    </row>
    <row r="26" ht="15.75" customHeight="1">
      <c r="A26" s="52"/>
      <c r="B26" s="52"/>
      <c r="C26" s="52"/>
      <c r="D26" s="52"/>
      <c r="E26" s="52"/>
    </row>
    <row r="27" ht="15.75" customHeight="1">
      <c r="A27" s="52"/>
      <c r="B27" s="52"/>
      <c r="C27" s="52"/>
      <c r="D27" s="52"/>
      <c r="E27" s="52"/>
    </row>
    <row r="28" ht="15.75" customHeight="1">
      <c r="A28" s="52"/>
      <c r="B28" s="52"/>
      <c r="C28" s="52"/>
      <c r="D28" s="52"/>
      <c r="E28" s="52"/>
    </row>
    <row r="29" ht="15.75" customHeight="1">
      <c r="A29" s="52"/>
      <c r="B29" s="52"/>
      <c r="C29" s="52"/>
      <c r="D29" s="52"/>
      <c r="E29" s="52"/>
    </row>
    <row r="30" ht="15.75" customHeight="1">
      <c r="A30" s="52"/>
      <c r="B30" s="52"/>
      <c r="C30" s="52"/>
      <c r="D30" s="52"/>
      <c r="E30" s="52"/>
    </row>
    <row r="31" ht="15.75" customHeight="1">
      <c r="A31" s="52"/>
      <c r="B31" s="52"/>
      <c r="C31" s="52"/>
      <c r="D31" s="52"/>
      <c r="E31" s="52"/>
    </row>
    <row r="32" ht="15.75" customHeight="1">
      <c r="A32" s="52"/>
      <c r="B32" s="52"/>
      <c r="C32" s="52"/>
      <c r="D32" s="52"/>
      <c r="E32" s="52"/>
    </row>
    <row r="33" ht="15.75" customHeight="1">
      <c r="A33" s="52"/>
      <c r="B33" s="52"/>
      <c r="C33" s="52"/>
      <c r="D33" s="52"/>
      <c r="E33" s="52"/>
    </row>
    <row r="34" ht="15.75" customHeight="1">
      <c r="A34" s="52"/>
      <c r="B34" s="52"/>
      <c r="C34" s="52"/>
      <c r="D34" s="52"/>
      <c r="E34" s="52"/>
    </row>
    <row r="35" ht="15.75" customHeight="1">
      <c r="A35" s="52"/>
      <c r="B35" s="52"/>
      <c r="C35" s="52"/>
      <c r="D35" s="52"/>
      <c r="E35" s="52"/>
    </row>
    <row r="36" ht="15.75" customHeight="1">
      <c r="A36" s="52"/>
      <c r="B36" s="52"/>
      <c r="C36" s="52"/>
      <c r="D36" s="52"/>
      <c r="E36" s="52"/>
    </row>
    <row r="37" ht="15.75" customHeight="1">
      <c r="A37" s="52"/>
      <c r="B37" s="52"/>
      <c r="C37" s="52"/>
      <c r="D37" s="52"/>
      <c r="E37" s="52"/>
    </row>
    <row r="38" ht="15.75" customHeight="1">
      <c r="A38" s="52"/>
      <c r="B38" s="52"/>
      <c r="C38" s="52"/>
      <c r="D38" s="52"/>
      <c r="E38" s="52"/>
    </row>
    <row r="39" ht="15.75" customHeight="1">
      <c r="A39" s="52"/>
      <c r="B39" s="52"/>
      <c r="C39" s="52"/>
      <c r="D39" s="52"/>
      <c r="E39" s="52"/>
    </row>
    <row r="40" ht="15.75" customHeight="1">
      <c r="A40" s="52"/>
      <c r="B40" s="52"/>
      <c r="C40" s="52"/>
      <c r="D40" s="52"/>
      <c r="E40" s="52"/>
    </row>
    <row r="41" ht="15.75" customHeight="1">
      <c r="A41" s="52"/>
      <c r="B41" s="52"/>
      <c r="C41" s="52"/>
      <c r="D41" s="52"/>
      <c r="E41" s="52"/>
    </row>
    <row r="42" ht="15.75" customHeight="1">
      <c r="A42" s="52"/>
      <c r="B42" s="52"/>
      <c r="C42" s="52"/>
      <c r="D42" s="52"/>
      <c r="E42" s="52"/>
    </row>
    <row r="43" ht="15.75" customHeight="1">
      <c r="A43" s="52"/>
      <c r="B43" s="52"/>
      <c r="C43" s="52"/>
      <c r="D43" s="52"/>
      <c r="E43" s="52"/>
    </row>
    <row r="44" ht="15.75" customHeight="1">
      <c r="A44" s="52"/>
      <c r="B44" s="52"/>
      <c r="C44" s="52"/>
      <c r="D44" s="52"/>
      <c r="E44" s="52"/>
    </row>
    <row r="45" ht="15.75" customHeight="1">
      <c r="A45" s="52"/>
      <c r="B45" s="52"/>
      <c r="C45" s="52"/>
      <c r="D45" s="52"/>
      <c r="E45" s="52"/>
    </row>
    <row r="46" ht="15.75" customHeight="1">
      <c r="A46" s="52"/>
      <c r="B46" s="52"/>
      <c r="C46" s="52"/>
      <c r="D46" s="52"/>
      <c r="E46" s="52"/>
    </row>
    <row r="47" ht="15.75" customHeight="1">
      <c r="A47" s="52"/>
      <c r="B47" s="52"/>
      <c r="C47" s="52"/>
      <c r="D47" s="52"/>
      <c r="E47" s="52"/>
    </row>
    <row r="48" ht="15.75" customHeight="1">
      <c r="A48" s="52"/>
      <c r="B48" s="52"/>
      <c r="C48" s="52"/>
      <c r="D48" s="52"/>
      <c r="E48" s="52"/>
    </row>
    <row r="49" ht="15.75" customHeight="1">
      <c r="A49" s="52"/>
      <c r="B49" s="52"/>
      <c r="C49" s="52"/>
      <c r="D49" s="52"/>
      <c r="E49" s="52"/>
    </row>
    <row r="50" ht="15.75" customHeight="1">
      <c r="A50" s="52"/>
      <c r="B50" s="52"/>
      <c r="C50" s="52"/>
      <c r="D50" s="52"/>
      <c r="E50" s="52"/>
    </row>
    <row r="51" ht="15.75" customHeight="1">
      <c r="A51" s="52"/>
      <c r="B51" s="52"/>
      <c r="C51" s="52"/>
      <c r="D51" s="52"/>
      <c r="E51" s="52"/>
    </row>
    <row r="52" ht="15.75" customHeight="1">
      <c r="A52" s="52"/>
      <c r="B52" s="52"/>
      <c r="C52" s="52"/>
      <c r="D52" s="52"/>
      <c r="E52" s="52"/>
    </row>
    <row r="53" ht="15.75" customHeight="1">
      <c r="A53" s="52"/>
      <c r="B53" s="52"/>
      <c r="C53" s="52"/>
      <c r="D53" s="52"/>
      <c r="E53" s="52"/>
    </row>
    <row r="54" ht="15.75" customHeight="1">
      <c r="A54" s="52"/>
      <c r="B54" s="52"/>
      <c r="C54" s="52"/>
      <c r="D54" s="52"/>
      <c r="E54" s="52"/>
    </row>
    <row r="55" ht="15.75" customHeight="1">
      <c r="A55" s="52"/>
      <c r="B55" s="52"/>
      <c r="C55" s="52"/>
      <c r="D55" s="52"/>
      <c r="E55" s="52"/>
    </row>
    <row r="56" ht="15.75" customHeight="1">
      <c r="A56" s="52"/>
      <c r="B56" s="52"/>
      <c r="C56" s="52"/>
      <c r="D56" s="52"/>
      <c r="E56" s="52"/>
    </row>
    <row r="57" ht="15.75" customHeight="1">
      <c r="A57" s="52"/>
      <c r="B57" s="52"/>
      <c r="C57" s="52"/>
      <c r="D57" s="52"/>
      <c r="E57" s="52"/>
    </row>
    <row r="58" ht="15.75" customHeight="1">
      <c r="A58" s="52"/>
      <c r="B58" s="52"/>
      <c r="C58" s="52"/>
      <c r="D58" s="52"/>
      <c r="E58" s="52"/>
    </row>
    <row r="59" ht="15.75" customHeight="1">
      <c r="A59" s="52"/>
      <c r="B59" s="52"/>
      <c r="C59" s="52"/>
      <c r="D59" s="52"/>
      <c r="E59" s="52"/>
    </row>
    <row r="60" ht="15.75" customHeight="1">
      <c r="A60" s="52"/>
      <c r="B60" s="52"/>
      <c r="C60" s="52"/>
      <c r="D60" s="52"/>
      <c r="E60" s="52"/>
    </row>
    <row r="61" ht="15.75" customHeight="1">
      <c r="A61" s="52"/>
      <c r="B61" s="52"/>
      <c r="C61" s="52"/>
      <c r="D61" s="52"/>
      <c r="E61" s="52"/>
    </row>
    <row r="62" ht="15.75" customHeight="1">
      <c r="A62" s="52"/>
      <c r="B62" s="52"/>
      <c r="C62" s="52"/>
      <c r="D62" s="52"/>
      <c r="E62" s="52"/>
    </row>
    <row r="63" ht="15.75" customHeight="1">
      <c r="A63" s="52"/>
      <c r="B63" s="52"/>
      <c r="C63" s="52"/>
      <c r="D63" s="52"/>
      <c r="E63" s="52"/>
    </row>
    <row r="64" ht="15.75" customHeight="1">
      <c r="A64" s="52"/>
      <c r="B64" s="52"/>
      <c r="C64" s="52"/>
      <c r="D64" s="52"/>
      <c r="E64" s="52"/>
    </row>
    <row r="65" ht="15.75" customHeight="1">
      <c r="A65" s="52"/>
      <c r="B65" s="52"/>
      <c r="C65" s="52"/>
      <c r="D65" s="52"/>
      <c r="E65" s="52"/>
    </row>
    <row r="66" ht="15.75" customHeight="1">
      <c r="A66" s="52"/>
      <c r="B66" s="52"/>
      <c r="C66" s="52"/>
      <c r="D66" s="52"/>
      <c r="E66" s="52"/>
    </row>
    <row r="67" ht="15.75" customHeight="1">
      <c r="A67" s="52"/>
      <c r="B67" s="52"/>
      <c r="C67" s="52"/>
      <c r="D67" s="52"/>
      <c r="E67" s="52"/>
    </row>
    <row r="68" ht="15.75" customHeight="1">
      <c r="A68" s="52"/>
      <c r="B68" s="52"/>
      <c r="C68" s="52"/>
      <c r="D68" s="52"/>
      <c r="E68" s="52"/>
    </row>
    <row r="69" ht="15.75" customHeight="1">
      <c r="A69" s="52"/>
      <c r="B69" s="52"/>
      <c r="C69" s="52"/>
      <c r="D69" s="52"/>
      <c r="E69" s="52"/>
    </row>
    <row r="70" ht="15.75" customHeight="1">
      <c r="A70" s="52"/>
      <c r="B70" s="52"/>
      <c r="C70" s="52"/>
      <c r="D70" s="52"/>
      <c r="E70" s="52"/>
    </row>
    <row r="71" ht="15.75" customHeight="1">
      <c r="A71" s="52"/>
      <c r="B71" s="52"/>
      <c r="C71" s="52"/>
      <c r="D71" s="52"/>
      <c r="E71" s="52"/>
    </row>
    <row r="72" ht="15.75" customHeight="1">
      <c r="A72" s="52"/>
      <c r="B72" s="52"/>
      <c r="C72" s="52"/>
      <c r="D72" s="52"/>
      <c r="E72" s="52"/>
    </row>
    <row r="73" ht="15.75" customHeight="1">
      <c r="A73" s="52"/>
      <c r="B73" s="52"/>
      <c r="C73" s="52"/>
      <c r="D73" s="52"/>
      <c r="E73" s="52"/>
    </row>
    <row r="74" ht="15.75" customHeight="1">
      <c r="A74" s="52"/>
      <c r="B74" s="52"/>
      <c r="C74" s="52"/>
      <c r="D74" s="52"/>
      <c r="E74" s="52"/>
    </row>
    <row r="75" ht="15.75" customHeight="1">
      <c r="A75" s="52"/>
      <c r="B75" s="52"/>
      <c r="C75" s="52"/>
      <c r="D75" s="52"/>
      <c r="E75" s="52"/>
    </row>
    <row r="76" ht="15.75" customHeight="1">
      <c r="A76" s="52"/>
      <c r="B76" s="52"/>
      <c r="C76" s="52"/>
      <c r="D76" s="52"/>
      <c r="E76" s="52"/>
    </row>
    <row r="77" ht="15.75" customHeight="1">
      <c r="A77" s="52"/>
      <c r="B77" s="52"/>
      <c r="C77" s="52"/>
      <c r="D77" s="52"/>
      <c r="E77" s="52"/>
    </row>
    <row r="78" ht="15.75" customHeight="1">
      <c r="A78" s="52"/>
      <c r="B78" s="52"/>
      <c r="C78" s="52"/>
      <c r="D78" s="52"/>
      <c r="E78" s="52"/>
    </row>
    <row r="79" ht="15.75" customHeight="1">
      <c r="A79" s="52"/>
      <c r="B79" s="52"/>
      <c r="C79" s="52"/>
      <c r="D79" s="52"/>
      <c r="E79" s="52"/>
    </row>
    <row r="80" ht="15.75" customHeight="1">
      <c r="A80" s="52"/>
      <c r="B80" s="52"/>
      <c r="C80" s="52"/>
      <c r="D80" s="52"/>
      <c r="E80" s="52"/>
    </row>
    <row r="81" ht="15.75" customHeight="1">
      <c r="A81" s="52"/>
      <c r="B81" s="52"/>
      <c r="C81" s="52"/>
      <c r="D81" s="52"/>
      <c r="E81" s="52"/>
    </row>
    <row r="82" ht="15.75" customHeight="1">
      <c r="A82" s="52"/>
      <c r="B82" s="52"/>
      <c r="C82" s="52"/>
      <c r="D82" s="52"/>
      <c r="E82" s="52"/>
    </row>
    <row r="83" ht="15.75" customHeight="1">
      <c r="A83" s="52"/>
      <c r="B83" s="52"/>
      <c r="C83" s="52"/>
      <c r="D83" s="52"/>
      <c r="E83" s="52"/>
    </row>
    <row r="84" ht="15.75" customHeight="1">
      <c r="A84" s="52"/>
      <c r="B84" s="52"/>
      <c r="C84" s="52"/>
      <c r="D84" s="52"/>
      <c r="E84" s="52"/>
    </row>
    <row r="85" ht="15.75" customHeight="1">
      <c r="A85" s="53"/>
      <c r="B85" s="53"/>
      <c r="C85" s="53"/>
      <c r="D85" s="53"/>
      <c r="E85" s="53"/>
    </row>
    <row r="86" ht="15.75" customHeight="1">
      <c r="A86" s="53"/>
      <c r="B86" s="53"/>
      <c r="C86" s="53"/>
      <c r="D86" s="53"/>
      <c r="E86" s="53"/>
    </row>
    <row r="87" ht="15.75" customHeight="1">
      <c r="A87" s="53"/>
      <c r="B87" s="53"/>
      <c r="C87" s="53"/>
      <c r="D87" s="53"/>
      <c r="E87" s="53"/>
    </row>
    <row r="88" ht="15.75" customHeight="1">
      <c r="A88" s="53"/>
      <c r="B88" s="53"/>
      <c r="C88" s="53"/>
      <c r="D88" s="53"/>
      <c r="E88" s="53"/>
    </row>
    <row r="89" ht="15.75" customHeight="1">
      <c r="A89" s="53"/>
      <c r="B89" s="53"/>
      <c r="C89" s="53"/>
      <c r="D89" s="53"/>
      <c r="E89" s="53"/>
    </row>
    <row r="90" ht="15.75" customHeight="1">
      <c r="A90" s="53"/>
      <c r="B90" s="53"/>
      <c r="C90" s="53"/>
      <c r="D90" s="53"/>
      <c r="E90" s="53"/>
    </row>
    <row r="91" ht="15.75" customHeight="1">
      <c r="A91" s="53"/>
      <c r="B91" s="53"/>
      <c r="C91" s="53"/>
      <c r="D91" s="53"/>
      <c r="E91" s="53"/>
    </row>
    <row r="92" ht="15.75" customHeight="1">
      <c r="A92" s="53"/>
      <c r="B92" s="53"/>
      <c r="C92" s="53"/>
      <c r="D92" s="53"/>
      <c r="E92" s="53"/>
    </row>
    <row r="93" ht="15.75" customHeight="1">
      <c r="A93" s="53"/>
      <c r="B93" s="53"/>
      <c r="C93" s="53"/>
      <c r="D93" s="53"/>
      <c r="E93" s="53"/>
    </row>
    <row r="94" ht="15.75" customHeight="1">
      <c r="A94" s="53"/>
      <c r="B94" s="53"/>
      <c r="C94" s="53"/>
      <c r="D94" s="53"/>
      <c r="E94" s="53"/>
    </row>
    <row r="95" ht="15.75" customHeight="1">
      <c r="A95" s="53"/>
      <c r="B95" s="53"/>
      <c r="C95" s="53"/>
      <c r="D95" s="53"/>
      <c r="E95" s="53"/>
    </row>
    <row r="96" ht="15.75" customHeight="1">
      <c r="A96" s="53"/>
      <c r="B96" s="53"/>
      <c r="C96" s="53"/>
      <c r="D96" s="53"/>
      <c r="E96" s="53"/>
    </row>
    <row r="97" ht="15.75" customHeight="1">
      <c r="A97" s="53"/>
      <c r="B97" s="53"/>
      <c r="C97" s="53"/>
      <c r="D97" s="53"/>
      <c r="E97" s="53"/>
    </row>
    <row r="98" ht="15.75" customHeight="1">
      <c r="A98" s="53"/>
      <c r="B98" s="53"/>
      <c r="C98" s="53"/>
      <c r="D98" s="53"/>
      <c r="E98" s="53"/>
    </row>
    <row r="99" ht="15.75" customHeight="1">
      <c r="A99" s="53"/>
      <c r="B99" s="53"/>
      <c r="C99" s="53"/>
      <c r="D99" s="53"/>
      <c r="E99" s="53"/>
    </row>
    <row r="100" ht="15.75" customHeight="1">
      <c r="A100" s="53"/>
      <c r="B100" s="53"/>
      <c r="C100" s="53"/>
      <c r="D100" s="53"/>
      <c r="E100" s="53"/>
    </row>
    <row r="101" ht="15.75" customHeight="1">
      <c r="A101" s="53"/>
      <c r="B101" s="53"/>
      <c r="C101" s="53"/>
      <c r="D101" s="53"/>
      <c r="E101" s="53"/>
    </row>
    <row r="102" ht="15.75" customHeight="1">
      <c r="A102" s="53"/>
      <c r="B102" s="53"/>
      <c r="C102" s="53"/>
      <c r="D102" s="53"/>
      <c r="E102" s="53"/>
    </row>
    <row r="103" ht="15.75" customHeight="1">
      <c r="A103" s="53"/>
      <c r="B103" s="53"/>
      <c r="C103" s="53"/>
      <c r="D103" s="53"/>
      <c r="E103" s="53"/>
    </row>
    <row r="104" ht="15.75" customHeight="1">
      <c r="A104" s="53"/>
      <c r="B104" s="53"/>
      <c r="C104" s="53"/>
      <c r="D104" s="53"/>
      <c r="E104" s="53"/>
    </row>
    <row r="105" ht="15.75" customHeight="1">
      <c r="A105" s="53"/>
      <c r="B105" s="53"/>
      <c r="C105" s="53"/>
      <c r="D105" s="53"/>
      <c r="E105" s="53"/>
    </row>
    <row r="106" ht="15.75" customHeight="1">
      <c r="A106" s="53"/>
      <c r="B106" s="53"/>
      <c r="C106" s="53"/>
      <c r="D106" s="53"/>
      <c r="E106" s="53"/>
    </row>
    <row r="107" ht="15.75" customHeight="1">
      <c r="A107" s="53"/>
      <c r="B107" s="53"/>
      <c r="C107" s="53"/>
      <c r="D107" s="53"/>
      <c r="E107" s="53"/>
    </row>
    <row r="108" ht="15.75" customHeight="1">
      <c r="A108" s="53"/>
      <c r="B108" s="53"/>
      <c r="C108" s="53"/>
      <c r="D108" s="53"/>
      <c r="E108" s="53"/>
    </row>
    <row r="109" ht="15.75" customHeight="1">
      <c r="A109" s="53"/>
      <c r="B109" s="53"/>
      <c r="C109" s="53"/>
      <c r="D109" s="53"/>
      <c r="E109" s="53"/>
    </row>
    <row r="110" ht="15.75" customHeight="1">
      <c r="A110" s="53"/>
      <c r="B110" s="53"/>
      <c r="C110" s="53"/>
      <c r="D110" s="53"/>
      <c r="E110" s="53"/>
    </row>
    <row r="111" ht="15.75" customHeight="1">
      <c r="A111" s="53"/>
      <c r="B111" s="53"/>
      <c r="C111" s="53"/>
      <c r="D111" s="53"/>
      <c r="E111" s="53"/>
    </row>
    <row r="112" ht="15.75" customHeight="1">
      <c r="A112" s="53"/>
      <c r="B112" s="53"/>
      <c r="C112" s="53"/>
      <c r="D112" s="53"/>
      <c r="E112" s="53"/>
    </row>
    <row r="113" ht="15.75" customHeight="1">
      <c r="A113" s="53"/>
      <c r="B113" s="53"/>
      <c r="C113" s="53"/>
      <c r="D113" s="53"/>
      <c r="E113" s="53"/>
    </row>
    <row r="114" ht="15.75" customHeight="1">
      <c r="A114" s="53"/>
      <c r="B114" s="53"/>
      <c r="C114" s="53"/>
      <c r="D114" s="53"/>
      <c r="E114" s="53"/>
    </row>
    <row r="115" ht="15.75" customHeight="1">
      <c r="A115" s="53"/>
      <c r="B115" s="53"/>
      <c r="C115" s="53"/>
      <c r="D115" s="53"/>
      <c r="E115" s="53"/>
    </row>
    <row r="116" ht="15.75" customHeight="1">
      <c r="A116" s="53"/>
      <c r="B116" s="53"/>
      <c r="C116" s="53"/>
      <c r="D116" s="53"/>
      <c r="E116" s="53"/>
    </row>
    <row r="117" ht="15.75" customHeight="1">
      <c r="A117" s="53"/>
      <c r="B117" s="53"/>
      <c r="C117" s="53"/>
      <c r="D117" s="53"/>
      <c r="E117" s="53"/>
    </row>
    <row r="118" ht="15.75" customHeight="1">
      <c r="A118" s="53"/>
      <c r="B118" s="53"/>
      <c r="C118" s="53"/>
      <c r="D118" s="53"/>
      <c r="E118" s="53"/>
    </row>
    <row r="119" ht="15.75" customHeight="1">
      <c r="A119" s="53"/>
      <c r="B119" s="53"/>
      <c r="C119" s="53"/>
      <c r="D119" s="53"/>
      <c r="E119" s="53"/>
    </row>
    <row r="120" ht="15.75" customHeight="1">
      <c r="A120" s="53"/>
      <c r="B120" s="53"/>
      <c r="C120" s="53"/>
      <c r="D120" s="53"/>
      <c r="E120" s="53"/>
    </row>
    <row r="121" ht="15.75" customHeight="1">
      <c r="A121" s="53"/>
      <c r="B121" s="53"/>
      <c r="C121" s="53"/>
      <c r="D121" s="53"/>
      <c r="E121" s="53"/>
    </row>
    <row r="122" ht="15.75" customHeight="1">
      <c r="A122" s="53"/>
      <c r="B122" s="53"/>
      <c r="C122" s="53"/>
      <c r="D122" s="53"/>
      <c r="E122" s="53"/>
    </row>
    <row r="123" ht="15.75" customHeight="1">
      <c r="A123" s="53"/>
      <c r="B123" s="53"/>
      <c r="C123" s="53"/>
      <c r="D123" s="53"/>
      <c r="E123" s="53"/>
    </row>
    <row r="124" ht="15.75" customHeight="1">
      <c r="A124" s="53"/>
      <c r="B124" s="53"/>
      <c r="C124" s="53"/>
      <c r="D124" s="53"/>
      <c r="E124" s="53"/>
    </row>
    <row r="125" ht="15.75" customHeight="1">
      <c r="A125" s="53"/>
      <c r="B125" s="53"/>
      <c r="C125" s="53"/>
      <c r="D125" s="53"/>
      <c r="E125" s="53"/>
    </row>
    <row r="126" ht="15.75" customHeight="1">
      <c r="A126" s="53"/>
      <c r="B126" s="53"/>
      <c r="C126" s="53"/>
      <c r="D126" s="53"/>
      <c r="E126" s="53"/>
    </row>
    <row r="127" ht="15.75" customHeight="1">
      <c r="A127" s="53"/>
      <c r="B127" s="53"/>
      <c r="C127" s="53"/>
      <c r="D127" s="53"/>
      <c r="E127" s="53"/>
    </row>
    <row r="128" ht="15.75" customHeight="1">
      <c r="A128" s="53"/>
      <c r="B128" s="53"/>
      <c r="C128" s="53"/>
      <c r="D128" s="53"/>
      <c r="E128" s="53"/>
    </row>
    <row r="129" ht="15.75" customHeight="1">
      <c r="A129" s="53"/>
      <c r="B129" s="53"/>
      <c r="C129" s="53"/>
      <c r="D129" s="53"/>
      <c r="E129" s="53"/>
    </row>
    <row r="130" ht="15.75" customHeight="1">
      <c r="A130" s="53"/>
      <c r="B130" s="53"/>
      <c r="C130" s="53"/>
      <c r="D130" s="53"/>
      <c r="E130" s="53"/>
    </row>
    <row r="131" ht="15.75" customHeight="1">
      <c r="A131" s="53"/>
      <c r="B131" s="53"/>
      <c r="C131" s="53"/>
      <c r="D131" s="53"/>
      <c r="E131" s="53"/>
    </row>
    <row r="132" ht="15.75" customHeight="1">
      <c r="A132" s="53"/>
      <c r="B132" s="53"/>
      <c r="C132" s="53"/>
      <c r="D132" s="53"/>
      <c r="E132" s="53"/>
    </row>
    <row r="133" ht="15.75" customHeight="1">
      <c r="A133" s="53"/>
      <c r="B133" s="53"/>
      <c r="C133" s="53"/>
      <c r="D133" s="53"/>
      <c r="E133" s="53"/>
    </row>
    <row r="134" ht="15.75" customHeight="1">
      <c r="A134" s="53"/>
      <c r="B134" s="53"/>
      <c r="C134" s="53"/>
      <c r="D134" s="53"/>
      <c r="E134" s="53"/>
    </row>
    <row r="135" ht="15.75" customHeight="1">
      <c r="A135" s="53"/>
      <c r="B135" s="53"/>
      <c r="C135" s="53"/>
      <c r="D135" s="53"/>
      <c r="E135" s="53"/>
    </row>
    <row r="136" ht="15.75" customHeight="1">
      <c r="A136" s="53"/>
      <c r="B136" s="53"/>
      <c r="C136" s="53"/>
      <c r="D136" s="53"/>
      <c r="E136" s="53"/>
    </row>
    <row r="137" ht="15.75" customHeight="1">
      <c r="A137" s="53"/>
      <c r="B137" s="53"/>
      <c r="C137" s="53"/>
      <c r="D137" s="53"/>
      <c r="E137" s="53"/>
    </row>
    <row r="138" ht="15.75" customHeight="1">
      <c r="A138" s="53"/>
      <c r="B138" s="53"/>
      <c r="C138" s="53"/>
      <c r="D138" s="53"/>
      <c r="E138" s="53"/>
    </row>
    <row r="139" ht="15.75" customHeight="1">
      <c r="A139" s="53"/>
      <c r="B139" s="53"/>
      <c r="C139" s="53"/>
      <c r="D139" s="53"/>
      <c r="E139" s="53"/>
    </row>
    <row r="140" ht="15.75" customHeight="1">
      <c r="A140" s="53"/>
      <c r="B140" s="53"/>
      <c r="C140" s="53"/>
      <c r="D140" s="53"/>
      <c r="E140" s="53"/>
    </row>
    <row r="141" ht="15.75" customHeight="1">
      <c r="A141" s="53"/>
      <c r="B141" s="53"/>
      <c r="C141" s="53"/>
      <c r="D141" s="53"/>
      <c r="E141" s="53"/>
    </row>
    <row r="142" ht="15.75" customHeight="1">
      <c r="A142" s="53"/>
      <c r="B142" s="53"/>
      <c r="C142" s="53"/>
      <c r="D142" s="53"/>
      <c r="E142" s="53"/>
    </row>
    <row r="143" ht="15.75" customHeight="1">
      <c r="A143" s="53"/>
      <c r="B143" s="53"/>
      <c r="C143" s="53"/>
      <c r="D143" s="53"/>
      <c r="E143" s="53"/>
    </row>
    <row r="144" ht="15.75" customHeight="1">
      <c r="A144" s="53"/>
      <c r="B144" s="53"/>
      <c r="C144" s="53"/>
      <c r="D144" s="53"/>
      <c r="E144" s="53"/>
    </row>
    <row r="145" ht="15.75" customHeight="1">
      <c r="A145" s="53"/>
      <c r="B145" s="53"/>
      <c r="C145" s="53"/>
      <c r="D145" s="53"/>
      <c r="E145" s="53"/>
    </row>
    <row r="146" ht="15.75" customHeight="1">
      <c r="A146" s="53"/>
      <c r="B146" s="53"/>
      <c r="C146" s="53"/>
      <c r="D146" s="53"/>
      <c r="E146" s="53"/>
    </row>
    <row r="147" ht="15.75" customHeight="1">
      <c r="A147" s="53"/>
      <c r="B147" s="53"/>
      <c r="C147" s="53"/>
      <c r="D147" s="53"/>
      <c r="E147" s="53"/>
    </row>
    <row r="148" ht="15.75" customHeight="1">
      <c r="A148" s="53"/>
      <c r="B148" s="53"/>
      <c r="C148" s="53"/>
      <c r="D148" s="53"/>
      <c r="E148" s="53"/>
    </row>
    <row r="149" ht="15.75" customHeight="1">
      <c r="A149" s="53"/>
      <c r="B149" s="53"/>
      <c r="C149" s="53"/>
      <c r="D149" s="53"/>
      <c r="E149" s="53"/>
    </row>
    <row r="150" ht="15.75" customHeight="1">
      <c r="A150" s="53"/>
      <c r="B150" s="53"/>
      <c r="C150" s="53"/>
      <c r="D150" s="53"/>
      <c r="E150" s="53"/>
    </row>
    <row r="151" ht="15.75" customHeight="1">
      <c r="A151" s="53"/>
      <c r="B151" s="53"/>
      <c r="C151" s="53"/>
      <c r="D151" s="53"/>
      <c r="E151" s="53"/>
    </row>
    <row r="152" ht="15.75" customHeight="1">
      <c r="A152" s="53"/>
      <c r="B152" s="53"/>
      <c r="C152" s="53"/>
      <c r="D152" s="53"/>
      <c r="E152" s="53"/>
    </row>
    <row r="153" ht="15.75" customHeight="1">
      <c r="A153" s="53"/>
      <c r="B153" s="53"/>
      <c r="C153" s="53"/>
      <c r="D153" s="53"/>
      <c r="E153" s="53"/>
    </row>
    <row r="154" ht="15.75" customHeight="1">
      <c r="A154" s="53"/>
      <c r="B154" s="53"/>
      <c r="C154" s="53"/>
      <c r="D154" s="53"/>
      <c r="E154" s="53"/>
    </row>
    <row r="155" ht="15.75" customHeight="1">
      <c r="A155" s="53"/>
      <c r="B155" s="53"/>
      <c r="C155" s="53"/>
      <c r="D155" s="53"/>
      <c r="E155" s="53"/>
    </row>
    <row r="156" ht="15.75" customHeight="1">
      <c r="A156" s="53"/>
      <c r="B156" s="53"/>
      <c r="C156" s="53"/>
      <c r="D156" s="53"/>
      <c r="E156" s="53"/>
    </row>
    <row r="157" ht="15.75" customHeight="1">
      <c r="A157" s="53"/>
      <c r="B157" s="53"/>
      <c r="C157" s="53"/>
      <c r="D157" s="53"/>
      <c r="E157" s="53"/>
    </row>
    <row r="158" ht="15.75" customHeight="1">
      <c r="A158" s="53"/>
      <c r="B158" s="53"/>
      <c r="C158" s="53"/>
      <c r="D158" s="53"/>
      <c r="E158" s="53"/>
    </row>
    <row r="159" ht="15.75" customHeight="1">
      <c r="A159" s="53"/>
      <c r="B159" s="53"/>
      <c r="C159" s="53"/>
      <c r="D159" s="53"/>
      <c r="E159" s="53"/>
    </row>
    <row r="160" ht="15.75" customHeight="1">
      <c r="A160" s="53"/>
      <c r="B160" s="53"/>
      <c r="C160" s="53"/>
      <c r="D160" s="53"/>
      <c r="E160" s="53"/>
    </row>
    <row r="161" ht="15.75" customHeight="1">
      <c r="A161" s="53"/>
      <c r="B161" s="53"/>
      <c r="C161" s="53"/>
      <c r="D161" s="53"/>
      <c r="E161" s="53"/>
    </row>
    <row r="162" ht="15.75" customHeight="1">
      <c r="A162" s="53"/>
      <c r="B162" s="53"/>
      <c r="C162" s="53"/>
      <c r="D162" s="53"/>
      <c r="E162" s="53"/>
    </row>
    <row r="163" ht="15.75" customHeight="1">
      <c r="A163" s="53"/>
      <c r="B163" s="53"/>
      <c r="C163" s="53"/>
      <c r="D163" s="53"/>
      <c r="E163" s="53"/>
    </row>
    <row r="164" ht="15.75" customHeight="1">
      <c r="A164" s="53"/>
      <c r="B164" s="53"/>
      <c r="C164" s="53"/>
      <c r="D164" s="53"/>
      <c r="E164" s="53"/>
    </row>
    <row r="165" ht="15.75" customHeight="1">
      <c r="A165" s="53"/>
      <c r="B165" s="53"/>
      <c r="C165" s="53"/>
      <c r="D165" s="53"/>
      <c r="E165" s="53"/>
    </row>
    <row r="166" ht="15.75" customHeight="1">
      <c r="A166" s="53"/>
      <c r="B166" s="53"/>
      <c r="C166" s="53"/>
      <c r="D166" s="53"/>
      <c r="E166" s="53"/>
    </row>
    <row r="167" ht="15.75" customHeight="1">
      <c r="A167" s="53"/>
      <c r="B167" s="53"/>
      <c r="C167" s="53"/>
      <c r="D167" s="53"/>
      <c r="E167" s="53"/>
    </row>
    <row r="168" ht="15.75" customHeight="1">
      <c r="A168" s="53"/>
      <c r="B168" s="53"/>
      <c r="C168" s="53"/>
      <c r="D168" s="53"/>
      <c r="E168" s="53"/>
    </row>
    <row r="169" ht="15.75" customHeight="1">
      <c r="A169" s="53"/>
      <c r="B169" s="53"/>
      <c r="C169" s="53"/>
      <c r="D169" s="53"/>
      <c r="E169" s="53"/>
    </row>
    <row r="170" ht="15.75" customHeight="1">
      <c r="A170" s="53"/>
      <c r="B170" s="53"/>
      <c r="C170" s="53"/>
      <c r="D170" s="53"/>
      <c r="E170" s="53"/>
    </row>
    <row r="171" ht="15.75" customHeight="1">
      <c r="A171" s="53"/>
      <c r="B171" s="53"/>
      <c r="C171" s="53"/>
      <c r="D171" s="53"/>
      <c r="E171" s="53"/>
    </row>
    <row r="172" ht="15.75" customHeight="1">
      <c r="A172" s="53"/>
      <c r="B172" s="53"/>
      <c r="C172" s="53"/>
      <c r="D172" s="53"/>
      <c r="E172" s="53"/>
    </row>
    <row r="173" ht="15.75" customHeight="1">
      <c r="A173" s="53"/>
      <c r="B173" s="53"/>
      <c r="C173" s="53"/>
      <c r="D173" s="53"/>
      <c r="E173" s="53"/>
    </row>
    <row r="174" ht="15.75" customHeight="1">
      <c r="A174" s="53"/>
      <c r="B174" s="53"/>
      <c r="C174" s="53"/>
      <c r="D174" s="53"/>
      <c r="E174" s="53"/>
    </row>
    <row r="175" ht="15.75" customHeight="1">
      <c r="A175" s="53"/>
      <c r="B175" s="53"/>
      <c r="C175" s="53"/>
      <c r="D175" s="53"/>
      <c r="E175" s="53"/>
    </row>
    <row r="176" ht="15.75" customHeight="1">
      <c r="A176" s="53"/>
      <c r="B176" s="53"/>
      <c r="C176" s="53"/>
      <c r="D176" s="53"/>
      <c r="E176" s="53"/>
    </row>
    <row r="177" ht="15.75" customHeight="1">
      <c r="A177" s="53"/>
      <c r="B177" s="53"/>
      <c r="C177" s="53"/>
      <c r="D177" s="53"/>
      <c r="E177" s="53"/>
    </row>
    <row r="178" ht="15.75" customHeight="1">
      <c r="A178" s="53"/>
      <c r="B178" s="53"/>
      <c r="C178" s="53"/>
      <c r="D178" s="53"/>
      <c r="E178" s="53"/>
    </row>
    <row r="179" ht="15.75" customHeight="1">
      <c r="A179" s="53"/>
      <c r="B179" s="53"/>
      <c r="C179" s="53"/>
      <c r="D179" s="53"/>
      <c r="E179" s="53"/>
    </row>
    <row r="180" ht="15.75" customHeight="1">
      <c r="A180" s="53"/>
      <c r="B180" s="53"/>
      <c r="C180" s="53"/>
      <c r="D180" s="53"/>
      <c r="E180" s="53"/>
    </row>
    <row r="181" ht="15.75" customHeight="1">
      <c r="A181" s="53"/>
      <c r="B181" s="53"/>
      <c r="C181" s="53"/>
      <c r="D181" s="53"/>
      <c r="E181" s="53"/>
    </row>
    <row r="182" ht="15.75" customHeight="1">
      <c r="A182" s="53"/>
      <c r="B182" s="53"/>
      <c r="C182" s="53"/>
      <c r="D182" s="53"/>
      <c r="E182" s="53"/>
    </row>
    <row r="183" ht="15.75" customHeight="1">
      <c r="A183" s="53"/>
      <c r="B183" s="53"/>
      <c r="C183" s="53"/>
      <c r="D183" s="53"/>
      <c r="E183" s="53"/>
    </row>
    <row r="184" ht="15.75" customHeight="1">
      <c r="A184" s="53"/>
      <c r="B184" s="53"/>
      <c r="C184" s="53"/>
      <c r="D184" s="53"/>
      <c r="E184" s="53"/>
    </row>
    <row r="185" ht="15.75" customHeight="1">
      <c r="A185" s="53"/>
      <c r="B185" s="53"/>
      <c r="C185" s="53"/>
      <c r="D185" s="53"/>
      <c r="E185" s="53"/>
    </row>
    <row r="186" ht="15.75" customHeight="1">
      <c r="A186" s="53"/>
      <c r="B186" s="53"/>
      <c r="C186" s="53"/>
      <c r="D186" s="53"/>
      <c r="E186" s="53"/>
    </row>
    <row r="187" ht="15.75" customHeight="1">
      <c r="A187" s="53"/>
      <c r="B187" s="53"/>
      <c r="C187" s="53"/>
      <c r="D187" s="53"/>
      <c r="E187" s="53"/>
    </row>
    <row r="188" ht="15.75" customHeight="1">
      <c r="A188" s="53"/>
      <c r="B188" s="53"/>
      <c r="C188" s="53"/>
      <c r="D188" s="53"/>
      <c r="E188" s="53"/>
    </row>
    <row r="189" ht="15.75" customHeight="1">
      <c r="A189" s="53"/>
      <c r="B189" s="53"/>
      <c r="C189" s="53"/>
      <c r="D189" s="53"/>
      <c r="E189" s="53"/>
    </row>
    <row r="190" ht="15.75" customHeight="1">
      <c r="A190" s="53"/>
      <c r="B190" s="53"/>
      <c r="C190" s="53"/>
      <c r="D190" s="53"/>
      <c r="E190" s="53"/>
    </row>
    <row r="191" ht="15.75" customHeight="1">
      <c r="A191" s="53"/>
      <c r="B191" s="53"/>
      <c r="C191" s="53"/>
      <c r="D191" s="53"/>
      <c r="E191" s="53"/>
    </row>
    <row r="192" ht="15.75" customHeight="1">
      <c r="A192" s="53"/>
      <c r="B192" s="53"/>
      <c r="C192" s="53"/>
      <c r="D192" s="53"/>
      <c r="E192" s="53"/>
    </row>
    <row r="193" ht="15.75" customHeight="1">
      <c r="A193" s="53"/>
      <c r="B193" s="53"/>
      <c r="C193" s="53"/>
      <c r="D193" s="53"/>
      <c r="E193" s="53"/>
    </row>
    <row r="194" ht="15.75" customHeight="1">
      <c r="A194" s="53"/>
      <c r="B194" s="53"/>
      <c r="C194" s="53"/>
      <c r="D194" s="53"/>
      <c r="E194" s="53"/>
    </row>
    <row r="195" ht="15.75" customHeight="1">
      <c r="A195" s="53"/>
      <c r="B195" s="53"/>
      <c r="C195" s="53"/>
      <c r="D195" s="53"/>
      <c r="E195" s="53"/>
    </row>
    <row r="196" ht="15.75" customHeight="1">
      <c r="A196" s="53"/>
      <c r="B196" s="53"/>
      <c r="C196" s="53"/>
      <c r="D196" s="53"/>
      <c r="E196" s="53"/>
    </row>
    <row r="197" ht="15.75" customHeight="1">
      <c r="A197" s="53"/>
      <c r="B197" s="53"/>
      <c r="C197" s="53"/>
      <c r="D197" s="53"/>
      <c r="E197" s="53"/>
    </row>
    <row r="198" ht="15.75" customHeight="1">
      <c r="A198" s="53"/>
      <c r="B198" s="53"/>
      <c r="C198" s="53"/>
      <c r="D198" s="53"/>
      <c r="E198" s="53"/>
    </row>
    <row r="199" ht="15.75" customHeight="1">
      <c r="A199" s="53"/>
      <c r="B199" s="53"/>
      <c r="C199" s="53"/>
      <c r="D199" s="53"/>
      <c r="E199" s="53"/>
    </row>
    <row r="200" ht="15.75" customHeight="1">
      <c r="A200" s="53"/>
      <c r="B200" s="53"/>
      <c r="C200" s="53"/>
      <c r="D200" s="53"/>
      <c r="E200" s="53"/>
    </row>
    <row r="201" ht="15.75" customHeight="1">
      <c r="A201" s="53"/>
      <c r="B201" s="53"/>
      <c r="C201" s="53"/>
      <c r="D201" s="53"/>
      <c r="E201" s="53"/>
    </row>
    <row r="202" ht="15.75" customHeight="1">
      <c r="A202" s="53"/>
      <c r="B202" s="53"/>
      <c r="C202" s="53"/>
      <c r="D202" s="53"/>
      <c r="E202" s="53"/>
    </row>
    <row r="203" ht="15.75" customHeight="1">
      <c r="A203" s="53"/>
      <c r="B203" s="53"/>
      <c r="C203" s="53"/>
      <c r="D203" s="53"/>
      <c r="E203" s="53"/>
    </row>
    <row r="204" ht="15.75" customHeight="1">
      <c r="A204" s="53"/>
      <c r="B204" s="53"/>
      <c r="C204" s="53"/>
      <c r="D204" s="53"/>
      <c r="E204" s="53"/>
    </row>
    <row r="205" ht="15.75" customHeight="1">
      <c r="A205" s="53"/>
      <c r="B205" s="53"/>
      <c r="C205" s="53"/>
      <c r="D205" s="53"/>
      <c r="E205" s="53"/>
    </row>
    <row r="206" ht="15.75" customHeight="1">
      <c r="A206" s="53"/>
      <c r="B206" s="53"/>
      <c r="C206" s="53"/>
      <c r="D206" s="53"/>
      <c r="E206" s="53"/>
    </row>
    <row r="207" ht="15.75" customHeight="1">
      <c r="A207" s="53"/>
      <c r="B207" s="53"/>
      <c r="C207" s="53"/>
      <c r="D207" s="53"/>
      <c r="E207" s="53"/>
    </row>
    <row r="208" ht="15.75" customHeight="1">
      <c r="A208" s="53"/>
      <c r="B208" s="53"/>
      <c r="C208" s="53"/>
      <c r="D208" s="53"/>
      <c r="E208" s="53"/>
    </row>
    <row r="209" ht="15.75" customHeight="1">
      <c r="A209" s="53"/>
      <c r="B209" s="53"/>
      <c r="C209" s="53"/>
      <c r="D209" s="53"/>
      <c r="E209" s="53"/>
    </row>
    <row r="210" ht="15.75" customHeight="1">
      <c r="A210" s="53"/>
      <c r="B210" s="53"/>
      <c r="C210" s="53"/>
      <c r="D210" s="53"/>
      <c r="E210" s="53"/>
    </row>
    <row r="211" ht="15.75" customHeight="1">
      <c r="A211" s="53"/>
      <c r="B211" s="53"/>
      <c r="C211" s="53"/>
      <c r="D211" s="53"/>
      <c r="E211" s="53"/>
    </row>
    <row r="212" ht="15.75" customHeight="1">
      <c r="A212" s="53"/>
      <c r="B212" s="53"/>
      <c r="C212" s="53"/>
      <c r="D212" s="53"/>
      <c r="E212" s="53"/>
    </row>
    <row r="213" ht="15.75" customHeight="1">
      <c r="A213" s="53"/>
      <c r="B213" s="53"/>
      <c r="C213" s="53"/>
      <c r="D213" s="53"/>
      <c r="E213" s="53"/>
    </row>
    <row r="214" ht="15.75" customHeight="1">
      <c r="A214" s="53"/>
      <c r="B214" s="53"/>
      <c r="C214" s="53"/>
      <c r="D214" s="53"/>
      <c r="E214" s="53"/>
    </row>
    <row r="215" ht="15.75" customHeight="1">
      <c r="A215" s="53"/>
      <c r="B215" s="53"/>
      <c r="C215" s="53"/>
      <c r="D215" s="53"/>
      <c r="E215" s="53"/>
    </row>
    <row r="216" ht="15.75" customHeight="1">
      <c r="A216" s="53"/>
      <c r="B216" s="53"/>
      <c r="C216" s="53"/>
      <c r="D216" s="53"/>
      <c r="E216" s="53"/>
    </row>
    <row r="217" ht="15.75" customHeight="1">
      <c r="A217" s="53"/>
      <c r="B217" s="53"/>
      <c r="C217" s="53"/>
      <c r="D217" s="53"/>
      <c r="E217" s="53"/>
    </row>
    <row r="218" ht="15.75" customHeight="1">
      <c r="A218" s="53"/>
      <c r="B218" s="53"/>
      <c r="C218" s="53"/>
      <c r="D218" s="53"/>
      <c r="E218" s="53"/>
    </row>
    <row r="219" ht="15.75" customHeight="1">
      <c r="A219" s="53"/>
      <c r="B219" s="53"/>
      <c r="C219" s="53"/>
      <c r="D219" s="53"/>
      <c r="E219" s="53"/>
    </row>
    <row r="220" ht="15.75" customHeight="1">
      <c r="A220" s="53"/>
      <c r="B220" s="53"/>
      <c r="C220" s="53"/>
      <c r="D220" s="53"/>
      <c r="E220" s="53"/>
    </row>
    <row r="221" ht="15.75" customHeight="1">
      <c r="A221" s="53"/>
      <c r="B221" s="53"/>
      <c r="C221" s="53"/>
      <c r="D221" s="53"/>
      <c r="E221" s="53"/>
    </row>
    <row r="222" ht="15.75" customHeight="1">
      <c r="A222" s="53"/>
      <c r="B222" s="53"/>
      <c r="C222" s="53"/>
      <c r="D222" s="53"/>
      <c r="E222" s="53"/>
    </row>
    <row r="223" ht="15.75" customHeight="1">
      <c r="A223" s="53"/>
      <c r="B223" s="53"/>
      <c r="C223" s="53"/>
      <c r="D223" s="53"/>
      <c r="E223" s="53"/>
    </row>
    <row r="224" ht="15.75" customHeight="1">
      <c r="A224" s="53"/>
      <c r="B224" s="53"/>
      <c r="C224" s="53"/>
      <c r="D224" s="53"/>
      <c r="E224" s="53"/>
    </row>
    <row r="225" ht="15.75" customHeight="1">
      <c r="A225" s="53"/>
      <c r="B225" s="53"/>
      <c r="C225" s="53"/>
      <c r="D225" s="53"/>
      <c r="E225" s="53"/>
    </row>
    <row r="226" ht="15.75" customHeight="1">
      <c r="A226" s="53"/>
      <c r="B226" s="53"/>
      <c r="C226" s="53"/>
      <c r="D226" s="53"/>
      <c r="E226" s="53"/>
    </row>
    <row r="227" ht="15.75" customHeight="1">
      <c r="A227" s="53"/>
      <c r="B227" s="53"/>
      <c r="C227" s="53"/>
      <c r="D227" s="53"/>
      <c r="E227" s="53"/>
    </row>
    <row r="228" ht="15.75" customHeight="1">
      <c r="A228" s="53"/>
      <c r="B228" s="53"/>
      <c r="C228" s="53"/>
      <c r="D228" s="53"/>
      <c r="E228" s="53"/>
    </row>
    <row r="229" ht="15.75" customHeight="1">
      <c r="A229" s="53"/>
      <c r="B229" s="53"/>
      <c r="C229" s="53"/>
      <c r="D229" s="53"/>
      <c r="E229" s="53"/>
    </row>
    <row r="230" ht="15.75" customHeight="1">
      <c r="A230" s="53"/>
      <c r="B230" s="53"/>
      <c r="C230" s="53"/>
      <c r="D230" s="53"/>
      <c r="E230" s="53"/>
    </row>
    <row r="231" ht="15.75" customHeight="1">
      <c r="A231" s="53"/>
      <c r="B231" s="53"/>
      <c r="C231" s="53"/>
      <c r="D231" s="53"/>
      <c r="E231" s="53"/>
    </row>
    <row r="232" ht="15.75" customHeight="1">
      <c r="A232" s="53"/>
      <c r="B232" s="53"/>
      <c r="C232" s="53"/>
      <c r="D232" s="53"/>
      <c r="E232" s="53"/>
    </row>
    <row r="233" ht="15.75" customHeight="1">
      <c r="A233" s="53"/>
      <c r="B233" s="53"/>
      <c r="C233" s="53"/>
      <c r="D233" s="53"/>
      <c r="E233" s="53"/>
    </row>
    <row r="234" ht="15.75" customHeight="1">
      <c r="A234" s="53"/>
      <c r="B234" s="53"/>
      <c r="C234" s="53"/>
      <c r="D234" s="53"/>
      <c r="E234" s="53"/>
    </row>
    <row r="235" ht="15.75" customHeight="1">
      <c r="A235" s="53"/>
      <c r="B235" s="53"/>
      <c r="C235" s="53"/>
      <c r="D235" s="53"/>
      <c r="E235" s="53"/>
    </row>
    <row r="236" ht="15.75" customHeight="1">
      <c r="A236" s="53"/>
      <c r="B236" s="53"/>
      <c r="C236" s="53"/>
      <c r="D236" s="53"/>
      <c r="E236" s="53"/>
    </row>
    <row r="237" ht="15.75" customHeight="1">
      <c r="A237" s="53"/>
      <c r="B237" s="53"/>
      <c r="C237" s="53"/>
      <c r="D237" s="53"/>
      <c r="E237" s="53"/>
    </row>
    <row r="238" ht="15.75" customHeight="1">
      <c r="A238" s="53"/>
      <c r="B238" s="53"/>
      <c r="C238" s="53"/>
      <c r="D238" s="53"/>
      <c r="E238" s="53"/>
    </row>
    <row r="239" ht="15.75" customHeight="1">
      <c r="A239" s="53"/>
      <c r="B239" s="53"/>
      <c r="C239" s="53"/>
      <c r="D239" s="53"/>
      <c r="E239" s="53"/>
    </row>
    <row r="240" ht="15.75" customHeight="1">
      <c r="A240" s="53"/>
      <c r="B240" s="53"/>
      <c r="C240" s="53"/>
      <c r="D240" s="53"/>
      <c r="E240" s="53"/>
    </row>
    <row r="241" ht="15.75" customHeight="1">
      <c r="A241" s="53"/>
      <c r="B241" s="53"/>
      <c r="C241" s="53"/>
      <c r="D241" s="53"/>
      <c r="E241" s="53"/>
    </row>
    <row r="242" ht="15.75" customHeight="1">
      <c r="A242" s="53"/>
      <c r="B242" s="53"/>
      <c r="C242" s="53"/>
      <c r="D242" s="53"/>
      <c r="E242" s="53"/>
    </row>
    <row r="243" ht="15.75" customHeight="1">
      <c r="A243" s="53"/>
      <c r="B243" s="53"/>
      <c r="C243" s="53"/>
      <c r="D243" s="53"/>
      <c r="E243" s="53"/>
    </row>
    <row r="244" ht="15.75" customHeight="1">
      <c r="A244" s="53"/>
      <c r="B244" s="53"/>
      <c r="C244" s="53"/>
      <c r="D244" s="53"/>
      <c r="E244" s="53"/>
    </row>
    <row r="245" ht="15.75" customHeight="1">
      <c r="A245" s="53"/>
      <c r="B245" s="53"/>
      <c r="C245" s="53"/>
      <c r="D245" s="53"/>
      <c r="E245" s="53"/>
    </row>
    <row r="246" ht="15.75" customHeight="1">
      <c r="A246" s="53"/>
      <c r="B246" s="53"/>
      <c r="C246" s="53"/>
      <c r="D246" s="53"/>
      <c r="E246" s="53"/>
    </row>
    <row r="247" ht="15.75" customHeight="1">
      <c r="A247" s="53"/>
      <c r="B247" s="53"/>
      <c r="C247" s="53"/>
      <c r="D247" s="53"/>
      <c r="E247" s="53"/>
    </row>
    <row r="248" ht="15.75" customHeight="1">
      <c r="A248" s="53"/>
      <c r="B248" s="53"/>
      <c r="C248" s="53"/>
      <c r="D248" s="53"/>
      <c r="E248" s="53"/>
    </row>
    <row r="249" ht="15.75" customHeight="1">
      <c r="A249" s="53"/>
      <c r="B249" s="53"/>
      <c r="C249" s="53"/>
      <c r="D249" s="53"/>
      <c r="E249" s="53"/>
    </row>
    <row r="250" ht="15.75" customHeight="1">
      <c r="A250" s="53"/>
      <c r="B250" s="53"/>
      <c r="C250" s="53"/>
      <c r="D250" s="53"/>
      <c r="E250" s="53"/>
    </row>
    <row r="251" ht="15.75" customHeight="1">
      <c r="A251" s="53"/>
      <c r="B251" s="53"/>
      <c r="C251" s="53"/>
      <c r="D251" s="53"/>
      <c r="E251" s="53"/>
    </row>
    <row r="252" ht="15.75" customHeight="1">
      <c r="A252" s="53"/>
      <c r="B252" s="53"/>
      <c r="C252" s="53"/>
      <c r="D252" s="53"/>
      <c r="E252" s="53"/>
    </row>
    <row r="253" ht="15.75" customHeight="1">
      <c r="A253" s="53"/>
      <c r="B253" s="53"/>
      <c r="C253" s="53"/>
      <c r="D253" s="53"/>
      <c r="E253" s="53"/>
    </row>
    <row r="254" ht="15.75" customHeight="1">
      <c r="A254" s="53"/>
      <c r="B254" s="53"/>
      <c r="C254" s="53"/>
      <c r="D254" s="53"/>
      <c r="E254" s="53"/>
    </row>
    <row r="255" ht="15.75" customHeight="1">
      <c r="A255" s="53"/>
      <c r="B255" s="53"/>
      <c r="C255" s="53"/>
      <c r="D255" s="53"/>
      <c r="E255" s="53"/>
    </row>
    <row r="256" ht="15.75" customHeight="1">
      <c r="A256" s="53"/>
      <c r="B256" s="53"/>
      <c r="C256" s="53"/>
      <c r="D256" s="53"/>
      <c r="E256" s="53"/>
    </row>
    <row r="257" ht="15.75" customHeight="1">
      <c r="A257" s="53"/>
      <c r="B257" s="53"/>
      <c r="C257" s="53"/>
      <c r="D257" s="53"/>
      <c r="E257" s="53"/>
    </row>
    <row r="258" ht="15.75" customHeight="1">
      <c r="A258" s="53"/>
      <c r="B258" s="53"/>
      <c r="C258" s="53"/>
      <c r="D258" s="53"/>
      <c r="E258" s="53"/>
    </row>
    <row r="259" ht="15.75" customHeight="1">
      <c r="A259" s="53"/>
      <c r="B259" s="53"/>
      <c r="C259" s="53"/>
      <c r="D259" s="53"/>
      <c r="E259" s="53"/>
    </row>
    <row r="260" ht="15.75" customHeight="1">
      <c r="A260" s="53"/>
      <c r="B260" s="53"/>
      <c r="C260" s="53"/>
      <c r="D260" s="53"/>
      <c r="E260" s="53"/>
    </row>
    <row r="261" ht="15.75" customHeight="1">
      <c r="A261" s="53"/>
      <c r="B261" s="53"/>
      <c r="C261" s="53"/>
      <c r="D261" s="53"/>
      <c r="E261" s="53"/>
    </row>
    <row r="262" ht="15.75" customHeight="1">
      <c r="A262" s="53"/>
      <c r="B262" s="53"/>
      <c r="C262" s="53"/>
      <c r="D262" s="53"/>
      <c r="E262" s="53"/>
    </row>
    <row r="263" ht="15.75" customHeight="1">
      <c r="A263" s="53"/>
      <c r="B263" s="53"/>
      <c r="C263" s="53"/>
      <c r="D263" s="53"/>
      <c r="E263" s="53"/>
    </row>
    <row r="264" ht="15.75" customHeight="1">
      <c r="A264" s="53"/>
      <c r="B264" s="53"/>
      <c r="C264" s="53"/>
      <c r="D264" s="53"/>
      <c r="E264" s="53"/>
    </row>
    <row r="265" ht="15.75" customHeight="1">
      <c r="A265" s="53"/>
      <c r="B265" s="53"/>
      <c r="C265" s="53"/>
      <c r="D265" s="53"/>
      <c r="E265" s="53"/>
    </row>
    <row r="266" ht="15.75" customHeight="1">
      <c r="A266" s="53"/>
      <c r="B266" s="53"/>
      <c r="C266" s="53"/>
      <c r="D266" s="53"/>
      <c r="E266" s="53"/>
    </row>
    <row r="267" ht="15.75" customHeight="1">
      <c r="A267" s="53"/>
      <c r="B267" s="53"/>
      <c r="C267" s="53"/>
      <c r="D267" s="53"/>
      <c r="E267" s="53"/>
    </row>
    <row r="268" ht="15.75" customHeight="1">
      <c r="A268" s="53"/>
      <c r="B268" s="53"/>
      <c r="C268" s="53"/>
      <c r="D268" s="53"/>
      <c r="E268" s="53"/>
    </row>
    <row r="269" ht="15.75" customHeight="1">
      <c r="A269" s="53"/>
      <c r="B269" s="53"/>
      <c r="C269" s="53"/>
      <c r="D269" s="53"/>
      <c r="E269" s="53"/>
    </row>
    <row r="270" ht="15.75" customHeight="1">
      <c r="A270" s="53"/>
      <c r="B270" s="53"/>
      <c r="C270" s="53"/>
      <c r="D270" s="53"/>
      <c r="E270" s="53"/>
    </row>
    <row r="271" ht="15.75" customHeight="1">
      <c r="A271" s="53"/>
      <c r="B271" s="53"/>
      <c r="C271" s="53"/>
      <c r="D271" s="53"/>
      <c r="E271" s="53"/>
    </row>
    <row r="272" ht="15.75" customHeight="1">
      <c r="A272" s="53"/>
      <c r="B272" s="53"/>
      <c r="C272" s="53"/>
      <c r="D272" s="53"/>
      <c r="E272" s="53"/>
    </row>
    <row r="273" ht="15.75" customHeight="1">
      <c r="A273" s="53"/>
      <c r="B273" s="53"/>
      <c r="C273" s="53"/>
      <c r="D273" s="53"/>
      <c r="E273" s="53"/>
    </row>
    <row r="274" ht="15.75" customHeight="1">
      <c r="A274" s="53"/>
      <c r="B274" s="53"/>
      <c r="C274" s="53"/>
      <c r="D274" s="53"/>
      <c r="E274" s="53"/>
    </row>
    <row r="275" ht="15.75" customHeight="1">
      <c r="A275" s="53"/>
      <c r="B275" s="53"/>
      <c r="C275" s="53"/>
      <c r="D275" s="53"/>
      <c r="E275" s="53"/>
    </row>
    <row r="276" ht="15.75" customHeight="1">
      <c r="A276" s="53"/>
      <c r="B276" s="53"/>
      <c r="C276" s="53"/>
      <c r="D276" s="53"/>
      <c r="E276" s="53"/>
    </row>
    <row r="277" ht="15.75" customHeight="1">
      <c r="A277" s="53"/>
      <c r="B277" s="53"/>
      <c r="C277" s="53"/>
      <c r="D277" s="53"/>
      <c r="E277" s="53"/>
    </row>
    <row r="278" ht="15.75" customHeight="1">
      <c r="A278" s="53"/>
      <c r="B278" s="53"/>
      <c r="C278" s="53"/>
      <c r="D278" s="53"/>
      <c r="E278" s="53"/>
    </row>
    <row r="279" ht="15.75" customHeight="1">
      <c r="A279" s="53"/>
      <c r="B279" s="53"/>
      <c r="C279" s="53"/>
      <c r="D279" s="53"/>
      <c r="E279" s="53"/>
    </row>
    <row r="280" ht="15.75" customHeight="1">
      <c r="A280" s="53"/>
      <c r="B280" s="53"/>
      <c r="C280" s="53"/>
      <c r="D280" s="53"/>
      <c r="E280" s="53"/>
    </row>
    <row r="281" ht="15.75" customHeight="1">
      <c r="A281" s="53"/>
      <c r="B281" s="53"/>
      <c r="C281" s="53"/>
      <c r="D281" s="53"/>
      <c r="E281" s="53"/>
    </row>
    <row r="282" ht="15.75" customHeight="1">
      <c r="A282" s="53"/>
      <c r="B282" s="53"/>
      <c r="C282" s="53"/>
      <c r="D282" s="53"/>
      <c r="E282" s="53"/>
    </row>
    <row r="283" ht="15.75" customHeight="1">
      <c r="A283" s="53"/>
      <c r="B283" s="53"/>
      <c r="C283" s="53"/>
      <c r="D283" s="53"/>
      <c r="E283" s="53"/>
    </row>
    <row r="284" ht="15.75" customHeight="1">
      <c r="A284" s="53"/>
      <c r="B284" s="53"/>
      <c r="C284" s="53"/>
      <c r="D284" s="53"/>
      <c r="E284" s="53"/>
    </row>
    <row r="285" ht="15.75" customHeight="1">
      <c r="A285" s="53"/>
      <c r="B285" s="53"/>
      <c r="C285" s="53"/>
      <c r="D285" s="53"/>
      <c r="E285" s="53"/>
    </row>
    <row r="286" ht="15.75" customHeight="1">
      <c r="A286" s="53"/>
      <c r="B286" s="53"/>
      <c r="C286" s="53"/>
      <c r="D286" s="53"/>
      <c r="E286" s="53"/>
    </row>
    <row r="287" ht="15.75" customHeight="1">
      <c r="A287" s="53"/>
      <c r="B287" s="53"/>
      <c r="C287" s="53"/>
      <c r="D287" s="53"/>
      <c r="E287" s="53"/>
    </row>
    <row r="288" ht="15.75" customHeight="1">
      <c r="A288" s="53"/>
      <c r="B288" s="53"/>
      <c r="C288" s="53"/>
      <c r="D288" s="53"/>
      <c r="E288" s="53"/>
    </row>
    <row r="289" ht="15.75" customHeight="1">
      <c r="A289" s="53"/>
      <c r="B289" s="53"/>
      <c r="C289" s="53"/>
      <c r="D289" s="53"/>
      <c r="E289" s="53"/>
    </row>
    <row r="290" ht="15.75" customHeight="1">
      <c r="A290" s="53"/>
      <c r="B290" s="53"/>
      <c r="C290" s="53"/>
      <c r="D290" s="53"/>
      <c r="E290" s="53"/>
    </row>
    <row r="291" ht="15.75" customHeight="1">
      <c r="A291" s="53"/>
      <c r="B291" s="53"/>
      <c r="C291" s="53"/>
      <c r="D291" s="53"/>
      <c r="E291" s="53"/>
    </row>
    <row r="292" ht="15.75" customHeight="1">
      <c r="A292" s="53"/>
      <c r="B292" s="53"/>
      <c r="C292" s="53"/>
      <c r="D292" s="53"/>
      <c r="E292" s="53"/>
    </row>
    <row r="293" ht="15.75" customHeight="1">
      <c r="A293" s="53"/>
      <c r="B293" s="53"/>
      <c r="C293" s="53"/>
      <c r="D293" s="53"/>
      <c r="E293" s="53"/>
    </row>
    <row r="294" ht="15.75" customHeight="1">
      <c r="A294" s="53"/>
      <c r="B294" s="53"/>
      <c r="C294" s="53"/>
      <c r="D294" s="53"/>
      <c r="E294" s="53"/>
    </row>
    <row r="295" ht="15.75" customHeight="1">
      <c r="A295" s="53"/>
      <c r="B295" s="53"/>
      <c r="C295" s="53"/>
      <c r="D295" s="53"/>
      <c r="E295" s="53"/>
    </row>
    <row r="296" ht="15.75" customHeight="1">
      <c r="A296" s="53"/>
      <c r="B296" s="53"/>
      <c r="C296" s="53"/>
      <c r="D296" s="53"/>
      <c r="E296" s="53"/>
    </row>
    <row r="297" ht="15.75" customHeight="1">
      <c r="A297" s="53"/>
      <c r="B297" s="53"/>
      <c r="C297" s="53"/>
      <c r="D297" s="53"/>
      <c r="E297" s="53"/>
    </row>
    <row r="298" ht="15.75" customHeight="1">
      <c r="A298" s="53"/>
      <c r="B298" s="53"/>
      <c r="C298" s="53"/>
      <c r="D298" s="53"/>
      <c r="E298" s="53"/>
    </row>
    <row r="299" ht="15.75" customHeight="1">
      <c r="A299" s="53"/>
      <c r="B299" s="53"/>
      <c r="C299" s="53"/>
      <c r="D299" s="53"/>
      <c r="E299" s="53"/>
    </row>
    <row r="300" ht="15.75" customHeight="1">
      <c r="A300" s="53"/>
      <c r="B300" s="53"/>
      <c r="C300" s="53"/>
      <c r="D300" s="53"/>
      <c r="E300" s="53"/>
    </row>
    <row r="301" ht="15.75" customHeight="1">
      <c r="A301" s="53"/>
      <c r="B301" s="53"/>
      <c r="C301" s="53"/>
      <c r="D301" s="53"/>
      <c r="E301" s="53"/>
    </row>
    <row r="302" ht="15.75" customHeight="1">
      <c r="A302" s="53"/>
      <c r="B302" s="53"/>
      <c r="C302" s="53"/>
      <c r="D302" s="53"/>
      <c r="E302" s="53"/>
    </row>
    <row r="303" ht="15.75" customHeight="1">
      <c r="A303" s="53"/>
      <c r="B303" s="53"/>
      <c r="C303" s="53"/>
      <c r="D303" s="53"/>
      <c r="E303" s="53"/>
    </row>
    <row r="304" ht="15.75" customHeight="1">
      <c r="A304" s="53"/>
      <c r="B304" s="53"/>
      <c r="C304" s="53"/>
      <c r="D304" s="53"/>
      <c r="E304" s="53"/>
    </row>
    <row r="305" ht="15.75" customHeight="1">
      <c r="A305" s="53"/>
      <c r="B305" s="53"/>
      <c r="C305" s="53"/>
      <c r="D305" s="53"/>
      <c r="E305" s="53"/>
    </row>
    <row r="306" ht="15.75" customHeight="1">
      <c r="A306" s="53"/>
      <c r="B306" s="53"/>
      <c r="C306" s="53"/>
      <c r="D306" s="53"/>
      <c r="E306" s="53"/>
    </row>
    <row r="307" ht="15.75" customHeight="1">
      <c r="A307" s="53"/>
      <c r="B307" s="53"/>
      <c r="C307" s="53"/>
      <c r="D307" s="53"/>
      <c r="E307" s="53"/>
    </row>
    <row r="308" ht="15.75" customHeight="1">
      <c r="A308" s="53"/>
      <c r="B308" s="53"/>
      <c r="C308" s="53"/>
      <c r="D308" s="53"/>
      <c r="E308" s="53"/>
    </row>
    <row r="309" ht="15.75" customHeight="1">
      <c r="A309" s="53"/>
      <c r="B309" s="53"/>
      <c r="C309" s="53"/>
      <c r="D309" s="53"/>
      <c r="E309" s="53"/>
    </row>
    <row r="310" ht="15.75" customHeight="1">
      <c r="A310" s="53"/>
      <c r="B310" s="53"/>
      <c r="C310" s="53"/>
      <c r="D310" s="53"/>
      <c r="E310" s="53"/>
    </row>
    <row r="311" ht="15.75" customHeight="1">
      <c r="A311" s="53"/>
      <c r="B311" s="53"/>
      <c r="C311" s="53"/>
      <c r="D311" s="53"/>
      <c r="E311" s="53"/>
    </row>
    <row r="312" ht="15.75" customHeight="1">
      <c r="A312" s="53"/>
      <c r="B312" s="53"/>
      <c r="C312" s="53"/>
      <c r="D312" s="53"/>
      <c r="E312" s="53"/>
    </row>
    <row r="313" ht="15.75" customHeight="1">
      <c r="A313" s="53"/>
      <c r="B313" s="53"/>
      <c r="C313" s="53"/>
      <c r="D313" s="53"/>
      <c r="E313" s="53"/>
    </row>
    <row r="314" ht="15.75" customHeight="1">
      <c r="A314" s="53"/>
      <c r="B314" s="53"/>
      <c r="C314" s="53"/>
      <c r="D314" s="53"/>
      <c r="E314" s="53"/>
    </row>
    <row r="315" ht="15.75" customHeight="1">
      <c r="A315" s="53"/>
      <c r="B315" s="53"/>
      <c r="C315" s="53"/>
      <c r="D315" s="53"/>
      <c r="E315" s="53"/>
    </row>
    <row r="316" ht="15.75" customHeight="1">
      <c r="A316" s="53"/>
      <c r="B316" s="53"/>
      <c r="C316" s="53"/>
      <c r="D316" s="53"/>
      <c r="E316" s="53"/>
    </row>
    <row r="317" ht="15.75" customHeight="1">
      <c r="A317" s="53"/>
      <c r="B317" s="53"/>
      <c r="C317" s="53"/>
      <c r="D317" s="53"/>
      <c r="E317" s="53"/>
    </row>
    <row r="318" ht="15.75" customHeight="1">
      <c r="A318" s="53"/>
      <c r="B318" s="53"/>
      <c r="C318" s="53"/>
      <c r="D318" s="53"/>
      <c r="E318" s="53"/>
    </row>
    <row r="319" ht="15.75" customHeight="1">
      <c r="A319" s="53"/>
      <c r="B319" s="53"/>
      <c r="C319" s="53"/>
      <c r="D319" s="53"/>
      <c r="E319" s="53"/>
    </row>
    <row r="320" ht="15.75" customHeight="1">
      <c r="A320" s="53"/>
      <c r="B320" s="53"/>
      <c r="C320" s="53"/>
      <c r="D320" s="53"/>
      <c r="E320" s="53"/>
    </row>
    <row r="321" ht="15.75" customHeight="1">
      <c r="A321" s="53"/>
      <c r="B321" s="53"/>
      <c r="C321" s="53"/>
      <c r="D321" s="53"/>
      <c r="E321" s="53"/>
    </row>
    <row r="322" ht="15.75" customHeight="1">
      <c r="A322" s="53"/>
      <c r="B322" s="53"/>
      <c r="C322" s="53"/>
      <c r="D322" s="53"/>
      <c r="E322" s="53"/>
    </row>
    <row r="323" ht="15.75" customHeight="1">
      <c r="A323" s="53"/>
      <c r="B323" s="53"/>
      <c r="C323" s="53"/>
      <c r="D323" s="53"/>
      <c r="E323" s="53"/>
    </row>
    <row r="324" ht="15.75" customHeight="1">
      <c r="A324" s="53"/>
      <c r="B324" s="53"/>
      <c r="C324" s="53"/>
      <c r="D324" s="53"/>
      <c r="E324" s="53"/>
    </row>
    <row r="325" ht="15.75" customHeight="1">
      <c r="A325" s="53"/>
      <c r="B325" s="53"/>
      <c r="C325" s="53"/>
      <c r="D325" s="53"/>
      <c r="E325" s="53"/>
    </row>
    <row r="326" ht="15.75" customHeight="1">
      <c r="A326" s="53"/>
      <c r="B326" s="53"/>
      <c r="C326" s="53"/>
      <c r="D326" s="53"/>
      <c r="E326" s="53"/>
    </row>
    <row r="327" ht="15.75" customHeight="1">
      <c r="A327" s="53"/>
      <c r="B327" s="53"/>
      <c r="C327" s="53"/>
      <c r="D327" s="53"/>
      <c r="E327" s="53"/>
    </row>
    <row r="328" ht="15.75" customHeight="1">
      <c r="A328" s="53"/>
      <c r="B328" s="53"/>
      <c r="C328" s="53"/>
      <c r="D328" s="53"/>
      <c r="E328" s="53"/>
    </row>
    <row r="329" ht="15.75" customHeight="1">
      <c r="A329" s="53"/>
      <c r="B329" s="53"/>
      <c r="C329" s="53"/>
      <c r="D329" s="53"/>
      <c r="E329" s="53"/>
    </row>
    <row r="330" ht="15.75" customHeight="1">
      <c r="A330" s="53"/>
      <c r="B330" s="53"/>
      <c r="C330" s="53"/>
      <c r="D330" s="53"/>
      <c r="E330" s="53"/>
    </row>
    <row r="331" ht="15.75" customHeight="1">
      <c r="A331" s="53"/>
      <c r="B331" s="53"/>
      <c r="C331" s="53"/>
      <c r="D331" s="53"/>
      <c r="E331" s="53"/>
    </row>
    <row r="332" ht="15.75" customHeight="1">
      <c r="A332" s="53"/>
      <c r="B332" s="53"/>
      <c r="C332" s="53"/>
      <c r="D332" s="53"/>
      <c r="E332" s="53"/>
    </row>
    <row r="333" ht="15.75" customHeight="1">
      <c r="A333" s="53"/>
      <c r="B333" s="53"/>
      <c r="C333" s="53"/>
      <c r="D333" s="53"/>
      <c r="E333" s="53"/>
    </row>
    <row r="334" ht="15.75" customHeight="1">
      <c r="A334" s="53"/>
      <c r="B334" s="53"/>
      <c r="C334" s="53"/>
      <c r="D334" s="53"/>
      <c r="E334" s="53"/>
    </row>
    <row r="335" ht="15.75" customHeight="1">
      <c r="A335" s="53"/>
      <c r="B335" s="53"/>
      <c r="C335" s="53"/>
      <c r="D335" s="53"/>
      <c r="E335" s="53"/>
    </row>
    <row r="336" ht="15.75" customHeight="1">
      <c r="A336" s="53"/>
      <c r="B336" s="53"/>
      <c r="C336" s="53"/>
      <c r="D336" s="53"/>
      <c r="E336" s="53"/>
    </row>
    <row r="337" ht="15.75" customHeight="1">
      <c r="A337" s="53"/>
      <c r="B337" s="53"/>
      <c r="C337" s="53"/>
      <c r="D337" s="53"/>
      <c r="E337" s="53"/>
    </row>
    <row r="338" ht="15.75" customHeight="1">
      <c r="A338" s="53"/>
      <c r="B338" s="53"/>
      <c r="C338" s="53"/>
      <c r="D338" s="53"/>
      <c r="E338" s="53"/>
    </row>
    <row r="339" ht="15.75" customHeight="1">
      <c r="A339" s="53"/>
      <c r="B339" s="53"/>
      <c r="C339" s="53"/>
      <c r="D339" s="53"/>
      <c r="E339" s="53"/>
    </row>
    <row r="340" ht="15.75" customHeight="1">
      <c r="A340" s="53"/>
      <c r="B340" s="53"/>
      <c r="C340" s="53"/>
      <c r="D340" s="53"/>
      <c r="E340" s="53"/>
    </row>
    <row r="341" ht="15.75" customHeight="1">
      <c r="A341" s="53"/>
      <c r="B341" s="53"/>
      <c r="C341" s="53"/>
      <c r="D341" s="53"/>
      <c r="E341" s="53"/>
    </row>
    <row r="342" ht="15.75" customHeight="1">
      <c r="A342" s="53"/>
      <c r="B342" s="53"/>
      <c r="C342" s="53"/>
      <c r="D342" s="53"/>
      <c r="E342" s="53"/>
    </row>
    <row r="343" ht="15.75" customHeight="1">
      <c r="A343" s="53"/>
      <c r="B343" s="53"/>
      <c r="C343" s="53"/>
      <c r="D343" s="53"/>
      <c r="E343" s="53"/>
    </row>
    <row r="344" ht="15.75" customHeight="1">
      <c r="A344" s="53"/>
      <c r="B344" s="53"/>
      <c r="C344" s="53"/>
      <c r="D344" s="53"/>
      <c r="E344" s="53"/>
    </row>
    <row r="345" ht="15.75" customHeight="1">
      <c r="A345" s="53"/>
      <c r="B345" s="53"/>
      <c r="C345" s="53"/>
      <c r="D345" s="53"/>
      <c r="E345" s="53"/>
    </row>
    <row r="346" ht="15.75" customHeight="1">
      <c r="A346" s="53"/>
      <c r="B346" s="53"/>
      <c r="C346" s="53"/>
      <c r="D346" s="53"/>
      <c r="E346" s="53"/>
    </row>
    <row r="347" ht="15.75" customHeight="1">
      <c r="A347" s="53"/>
      <c r="B347" s="53"/>
      <c r="C347" s="53"/>
      <c r="D347" s="53"/>
      <c r="E347" s="53"/>
    </row>
    <row r="348" ht="15.75" customHeight="1">
      <c r="A348" s="53"/>
      <c r="B348" s="53"/>
      <c r="C348" s="53"/>
      <c r="D348" s="53"/>
      <c r="E348" s="53"/>
    </row>
    <row r="349" ht="15.75" customHeight="1">
      <c r="A349" s="53"/>
      <c r="B349" s="53"/>
      <c r="C349" s="53"/>
      <c r="D349" s="53"/>
      <c r="E349" s="53"/>
    </row>
    <row r="350" ht="15.75" customHeight="1">
      <c r="A350" s="53"/>
      <c r="B350" s="53"/>
      <c r="C350" s="53"/>
      <c r="D350" s="53"/>
      <c r="E350" s="53"/>
    </row>
    <row r="351" ht="15.75" customHeight="1">
      <c r="A351" s="53"/>
      <c r="B351" s="53"/>
      <c r="C351" s="53"/>
      <c r="D351" s="53"/>
      <c r="E351" s="53"/>
    </row>
    <row r="352" ht="15.75" customHeight="1">
      <c r="A352" s="53"/>
      <c r="B352" s="53"/>
      <c r="C352" s="53"/>
      <c r="D352" s="53"/>
      <c r="E352" s="53"/>
    </row>
    <row r="353" ht="15.75" customHeight="1">
      <c r="A353" s="53"/>
      <c r="B353" s="53"/>
      <c r="C353" s="53"/>
      <c r="D353" s="53"/>
      <c r="E353" s="53"/>
    </row>
    <row r="354" ht="15.75" customHeight="1">
      <c r="A354" s="53"/>
      <c r="B354" s="53"/>
      <c r="C354" s="53"/>
      <c r="D354" s="53"/>
      <c r="E354" s="53"/>
    </row>
    <row r="355" ht="15.75" customHeight="1">
      <c r="A355" s="53"/>
      <c r="B355" s="53"/>
      <c r="C355" s="53"/>
      <c r="D355" s="53"/>
      <c r="E355" s="53"/>
    </row>
    <row r="356" ht="15.75" customHeight="1">
      <c r="A356" s="53"/>
      <c r="B356" s="53"/>
      <c r="C356" s="53"/>
      <c r="D356" s="53"/>
      <c r="E356" s="53"/>
    </row>
    <row r="357" ht="15.75" customHeight="1">
      <c r="A357" s="53"/>
      <c r="B357" s="53"/>
      <c r="C357" s="53"/>
      <c r="D357" s="53"/>
      <c r="E357" s="53"/>
    </row>
    <row r="358" ht="15.75" customHeight="1">
      <c r="A358" s="53"/>
      <c r="B358" s="53"/>
      <c r="C358" s="53"/>
      <c r="D358" s="53"/>
      <c r="E358" s="53"/>
    </row>
    <row r="359" ht="15.75" customHeight="1">
      <c r="A359" s="53"/>
      <c r="B359" s="53"/>
      <c r="C359" s="53"/>
      <c r="D359" s="53"/>
      <c r="E359" s="53"/>
    </row>
    <row r="360" ht="15.75" customHeight="1">
      <c r="A360" s="53"/>
      <c r="B360" s="53"/>
      <c r="C360" s="53"/>
      <c r="D360" s="53"/>
      <c r="E360" s="53"/>
    </row>
    <row r="361" ht="15.75" customHeight="1">
      <c r="A361" s="53"/>
      <c r="B361" s="53"/>
      <c r="C361" s="53"/>
      <c r="D361" s="53"/>
      <c r="E361" s="53"/>
    </row>
    <row r="362" ht="15.75" customHeight="1">
      <c r="A362" s="53"/>
      <c r="B362" s="53"/>
      <c r="C362" s="53"/>
      <c r="D362" s="53"/>
      <c r="E362" s="53"/>
    </row>
    <row r="363" ht="15.75" customHeight="1">
      <c r="A363" s="53"/>
      <c r="B363" s="53"/>
      <c r="C363" s="53"/>
      <c r="D363" s="53"/>
      <c r="E363" s="53"/>
    </row>
    <row r="364" ht="15.75" customHeight="1">
      <c r="A364" s="53"/>
      <c r="B364" s="53"/>
      <c r="C364" s="53"/>
      <c r="D364" s="53"/>
      <c r="E364" s="53"/>
    </row>
    <row r="365" ht="15.75" customHeight="1">
      <c r="A365" s="53"/>
      <c r="B365" s="53"/>
      <c r="C365" s="53"/>
      <c r="D365" s="53"/>
      <c r="E365" s="53"/>
    </row>
    <row r="366" ht="15.75" customHeight="1">
      <c r="A366" s="53"/>
      <c r="B366" s="53"/>
      <c r="C366" s="53"/>
      <c r="D366" s="53"/>
      <c r="E366" s="53"/>
    </row>
    <row r="367" ht="15.75" customHeight="1">
      <c r="A367" s="53"/>
      <c r="B367" s="53"/>
      <c r="C367" s="53"/>
      <c r="D367" s="53"/>
      <c r="E367" s="53"/>
    </row>
    <row r="368" ht="15.75" customHeight="1">
      <c r="A368" s="53"/>
      <c r="B368" s="53"/>
      <c r="C368" s="53"/>
      <c r="D368" s="53"/>
      <c r="E368" s="53"/>
    </row>
    <row r="369" ht="15.75" customHeight="1">
      <c r="A369" s="53"/>
      <c r="B369" s="53"/>
      <c r="C369" s="53"/>
      <c r="D369" s="53"/>
      <c r="E369" s="53"/>
    </row>
    <row r="370" ht="15.75" customHeight="1">
      <c r="A370" s="53"/>
      <c r="B370" s="53"/>
      <c r="C370" s="53"/>
      <c r="D370" s="53"/>
      <c r="E370" s="53"/>
    </row>
    <row r="371" ht="15.75" customHeight="1">
      <c r="A371" s="53"/>
      <c r="B371" s="53"/>
      <c r="C371" s="53"/>
      <c r="D371" s="53"/>
      <c r="E371" s="53"/>
    </row>
    <row r="372" ht="15.75" customHeight="1">
      <c r="A372" s="53"/>
      <c r="B372" s="53"/>
      <c r="C372" s="53"/>
      <c r="D372" s="53"/>
      <c r="E372" s="53"/>
    </row>
    <row r="373" ht="15.75" customHeight="1">
      <c r="A373" s="53"/>
      <c r="B373" s="53"/>
      <c r="C373" s="53"/>
      <c r="D373" s="53"/>
      <c r="E373" s="53"/>
    </row>
    <row r="374" ht="15.75" customHeight="1">
      <c r="A374" s="53"/>
      <c r="B374" s="53"/>
      <c r="C374" s="53"/>
      <c r="D374" s="53"/>
      <c r="E374" s="53"/>
    </row>
    <row r="375" ht="15.75" customHeight="1">
      <c r="A375" s="53"/>
      <c r="B375" s="53"/>
      <c r="C375" s="53"/>
      <c r="D375" s="53"/>
      <c r="E375" s="53"/>
    </row>
    <row r="376" ht="15.75" customHeight="1">
      <c r="A376" s="53"/>
      <c r="B376" s="53"/>
      <c r="C376" s="53"/>
      <c r="D376" s="53"/>
      <c r="E376" s="53"/>
    </row>
    <row r="377" ht="15.75" customHeight="1">
      <c r="A377" s="53"/>
      <c r="B377" s="53"/>
      <c r="C377" s="53"/>
      <c r="D377" s="53"/>
      <c r="E377" s="53"/>
    </row>
    <row r="378" ht="15.75" customHeight="1">
      <c r="A378" s="53"/>
      <c r="B378" s="53"/>
      <c r="C378" s="53"/>
      <c r="D378" s="53"/>
      <c r="E378" s="53"/>
    </row>
    <row r="379" ht="15.75" customHeight="1">
      <c r="A379" s="53"/>
      <c r="B379" s="53"/>
      <c r="C379" s="53"/>
      <c r="D379" s="53"/>
      <c r="E379" s="53"/>
    </row>
    <row r="380" ht="15.75" customHeight="1">
      <c r="A380" s="53"/>
      <c r="B380" s="53"/>
      <c r="C380" s="53"/>
      <c r="D380" s="53"/>
      <c r="E380" s="53"/>
    </row>
    <row r="381" ht="15.75" customHeight="1">
      <c r="A381" s="53"/>
      <c r="B381" s="53"/>
      <c r="C381" s="53"/>
      <c r="D381" s="53"/>
      <c r="E381" s="53"/>
    </row>
    <row r="382" ht="15.75" customHeight="1">
      <c r="A382" s="53"/>
      <c r="B382" s="53"/>
      <c r="C382" s="53"/>
      <c r="D382" s="53"/>
      <c r="E382" s="53"/>
    </row>
    <row r="383" ht="15.75" customHeight="1">
      <c r="A383" s="53"/>
      <c r="B383" s="53"/>
      <c r="C383" s="53"/>
      <c r="D383" s="53"/>
      <c r="E383" s="53"/>
    </row>
    <row r="384" ht="15.75" customHeight="1">
      <c r="A384" s="53"/>
      <c r="B384" s="53"/>
      <c r="C384" s="53"/>
      <c r="D384" s="53"/>
      <c r="E384" s="53"/>
    </row>
    <row r="385" ht="15.75" customHeight="1">
      <c r="A385" s="53"/>
      <c r="B385" s="53"/>
      <c r="C385" s="53"/>
      <c r="D385" s="53"/>
      <c r="E385" s="53"/>
    </row>
    <row r="386" ht="15.75" customHeight="1">
      <c r="A386" s="53"/>
      <c r="B386" s="53"/>
      <c r="C386" s="53"/>
      <c r="D386" s="53"/>
      <c r="E386" s="53"/>
    </row>
    <row r="387" ht="15.75" customHeight="1">
      <c r="A387" s="53"/>
      <c r="B387" s="53"/>
      <c r="C387" s="53"/>
      <c r="D387" s="53"/>
      <c r="E387" s="53"/>
    </row>
    <row r="388" ht="15.75" customHeight="1">
      <c r="A388" s="53"/>
      <c r="B388" s="53"/>
      <c r="C388" s="53"/>
      <c r="D388" s="53"/>
      <c r="E388" s="53"/>
    </row>
    <row r="389" ht="15.75" customHeight="1">
      <c r="A389" s="53"/>
      <c r="B389" s="53"/>
      <c r="C389" s="53"/>
      <c r="D389" s="53"/>
      <c r="E389" s="53"/>
    </row>
    <row r="390" ht="15.75" customHeight="1">
      <c r="A390" s="53"/>
      <c r="B390" s="53"/>
      <c r="C390" s="53"/>
      <c r="D390" s="53"/>
      <c r="E390" s="53"/>
    </row>
    <row r="391" ht="15.75" customHeight="1">
      <c r="A391" s="53"/>
      <c r="B391" s="53"/>
      <c r="C391" s="53"/>
      <c r="D391" s="53"/>
      <c r="E391" s="53"/>
    </row>
    <row r="392" ht="15.75" customHeight="1">
      <c r="A392" s="53"/>
      <c r="B392" s="53"/>
      <c r="C392" s="53"/>
      <c r="D392" s="53"/>
      <c r="E392" s="53"/>
    </row>
    <row r="393" ht="15.75" customHeight="1">
      <c r="A393" s="53"/>
      <c r="B393" s="53"/>
      <c r="C393" s="53"/>
      <c r="D393" s="53"/>
      <c r="E393" s="53"/>
    </row>
    <row r="394" ht="15.75" customHeight="1">
      <c r="A394" s="53"/>
      <c r="B394" s="53"/>
      <c r="C394" s="53"/>
      <c r="D394" s="53"/>
      <c r="E394" s="53"/>
    </row>
    <row r="395" ht="15.75" customHeight="1">
      <c r="A395" s="53"/>
      <c r="B395" s="53"/>
      <c r="C395" s="53"/>
      <c r="D395" s="53"/>
      <c r="E395" s="53"/>
    </row>
    <row r="396" ht="15.75" customHeight="1">
      <c r="A396" s="53"/>
      <c r="B396" s="53"/>
      <c r="C396" s="53"/>
      <c r="D396" s="53"/>
      <c r="E396" s="53"/>
    </row>
    <row r="397" ht="15.75" customHeight="1">
      <c r="A397" s="53"/>
      <c r="B397" s="53"/>
      <c r="C397" s="53"/>
      <c r="D397" s="53"/>
      <c r="E397" s="53"/>
    </row>
    <row r="398" ht="15.75" customHeight="1">
      <c r="A398" s="53"/>
      <c r="B398" s="53"/>
      <c r="C398" s="53"/>
      <c r="D398" s="53"/>
      <c r="E398" s="53"/>
    </row>
    <row r="399" ht="15.75" customHeight="1">
      <c r="A399" s="53"/>
      <c r="B399" s="53"/>
      <c r="C399" s="53"/>
      <c r="D399" s="53"/>
      <c r="E399" s="53"/>
    </row>
    <row r="400" ht="15.75" customHeight="1">
      <c r="A400" s="53"/>
      <c r="B400" s="53"/>
      <c r="C400" s="53"/>
      <c r="D400" s="53"/>
      <c r="E400" s="53"/>
    </row>
    <row r="401" ht="15.75" customHeight="1">
      <c r="A401" s="53"/>
      <c r="B401" s="53"/>
      <c r="C401" s="53"/>
      <c r="D401" s="53"/>
      <c r="E401" s="53"/>
    </row>
    <row r="402" ht="15.75" customHeight="1">
      <c r="A402" s="53"/>
      <c r="B402" s="53"/>
      <c r="C402" s="53"/>
      <c r="D402" s="53"/>
      <c r="E402" s="53"/>
    </row>
    <row r="403" ht="15.75" customHeight="1">
      <c r="A403" s="53"/>
      <c r="B403" s="53"/>
      <c r="C403" s="53"/>
      <c r="D403" s="53"/>
      <c r="E403" s="53"/>
    </row>
    <row r="404" ht="15.75" customHeight="1">
      <c r="A404" s="53"/>
      <c r="B404" s="53"/>
      <c r="C404" s="53"/>
      <c r="D404" s="53"/>
      <c r="E404" s="53"/>
    </row>
    <row r="405" ht="15.75" customHeight="1">
      <c r="A405" s="53"/>
      <c r="B405" s="53"/>
      <c r="C405" s="53"/>
      <c r="D405" s="53"/>
      <c r="E405" s="53"/>
    </row>
    <row r="406" ht="15.75" customHeight="1">
      <c r="A406" s="53"/>
      <c r="B406" s="53"/>
      <c r="C406" s="53"/>
      <c r="D406" s="53"/>
      <c r="E406" s="53"/>
    </row>
    <row r="407" ht="15.75" customHeight="1">
      <c r="A407" s="53"/>
      <c r="B407" s="53"/>
      <c r="C407" s="53"/>
      <c r="D407" s="53"/>
      <c r="E407" s="53"/>
    </row>
    <row r="408" ht="15.75" customHeight="1">
      <c r="A408" s="53"/>
      <c r="B408" s="53"/>
      <c r="C408" s="53"/>
      <c r="D408" s="53"/>
      <c r="E408" s="53"/>
    </row>
    <row r="409" ht="15.75" customHeight="1">
      <c r="A409" s="53"/>
      <c r="B409" s="53"/>
      <c r="C409" s="53"/>
      <c r="D409" s="53"/>
      <c r="E409" s="53"/>
    </row>
    <row r="410" ht="15.75" customHeight="1">
      <c r="A410" s="53"/>
      <c r="B410" s="53"/>
      <c r="C410" s="53"/>
      <c r="D410" s="53"/>
      <c r="E410" s="53"/>
    </row>
    <row r="411" ht="15.75" customHeight="1">
      <c r="A411" s="53"/>
      <c r="B411" s="53"/>
      <c r="C411" s="53"/>
      <c r="D411" s="53"/>
      <c r="E411" s="53"/>
    </row>
    <row r="412" ht="15.75" customHeight="1">
      <c r="A412" s="53"/>
      <c r="B412" s="53"/>
      <c r="C412" s="53"/>
      <c r="D412" s="53"/>
      <c r="E412" s="53"/>
    </row>
    <row r="413" ht="15.75" customHeight="1">
      <c r="A413" s="53"/>
      <c r="B413" s="53"/>
      <c r="C413" s="53"/>
      <c r="D413" s="53"/>
      <c r="E413" s="53"/>
    </row>
    <row r="414" ht="15.75" customHeight="1">
      <c r="A414" s="53"/>
      <c r="B414" s="53"/>
      <c r="C414" s="53"/>
      <c r="D414" s="53"/>
      <c r="E414" s="53"/>
    </row>
    <row r="415" ht="15.75" customHeight="1">
      <c r="A415" s="53"/>
      <c r="B415" s="53"/>
      <c r="C415" s="53"/>
      <c r="D415" s="53"/>
      <c r="E415" s="53"/>
    </row>
    <row r="416" ht="15.75" customHeight="1">
      <c r="A416" s="53"/>
      <c r="B416" s="53"/>
      <c r="C416" s="53"/>
      <c r="D416" s="53"/>
      <c r="E416" s="53"/>
    </row>
    <row r="417" ht="15.75" customHeight="1">
      <c r="A417" s="53"/>
      <c r="B417" s="53"/>
      <c r="C417" s="53"/>
      <c r="D417" s="53"/>
      <c r="E417" s="53"/>
    </row>
    <row r="418" ht="15.75" customHeight="1">
      <c r="A418" s="53"/>
      <c r="B418" s="53"/>
      <c r="C418" s="53"/>
      <c r="D418" s="53"/>
      <c r="E418" s="53"/>
    </row>
    <row r="419" ht="15.75" customHeight="1">
      <c r="A419" s="53"/>
      <c r="B419" s="53"/>
      <c r="C419" s="53"/>
      <c r="D419" s="53"/>
      <c r="E419" s="53"/>
    </row>
    <row r="420" ht="15.75" customHeight="1">
      <c r="A420" s="53"/>
      <c r="B420" s="53"/>
      <c r="C420" s="53"/>
      <c r="D420" s="53"/>
      <c r="E420" s="53"/>
    </row>
    <row r="421" ht="15.75" customHeight="1">
      <c r="A421" s="53"/>
      <c r="B421" s="53"/>
      <c r="C421" s="53"/>
      <c r="D421" s="53"/>
      <c r="E421" s="53"/>
    </row>
    <row r="422" ht="15.75" customHeight="1">
      <c r="A422" s="53"/>
      <c r="B422" s="53"/>
      <c r="C422" s="53"/>
      <c r="D422" s="53"/>
      <c r="E422" s="53"/>
    </row>
    <row r="423" ht="15.75" customHeight="1">
      <c r="A423" s="53"/>
      <c r="B423" s="53"/>
      <c r="C423" s="53"/>
      <c r="D423" s="53"/>
      <c r="E423" s="53"/>
    </row>
    <row r="424" ht="15.75" customHeight="1">
      <c r="A424" s="53"/>
      <c r="B424" s="53"/>
      <c r="C424" s="53"/>
      <c r="D424" s="53"/>
      <c r="E424" s="53"/>
    </row>
    <row r="425" ht="15.75" customHeight="1">
      <c r="A425" s="53"/>
      <c r="B425" s="53"/>
      <c r="C425" s="53"/>
      <c r="D425" s="53"/>
      <c r="E425" s="53"/>
    </row>
    <row r="426" ht="15.75" customHeight="1">
      <c r="A426" s="53"/>
      <c r="B426" s="53"/>
      <c r="C426" s="53"/>
      <c r="D426" s="53"/>
      <c r="E426" s="53"/>
    </row>
    <row r="427" ht="15.75" customHeight="1">
      <c r="A427" s="53"/>
      <c r="B427" s="53"/>
      <c r="C427" s="53"/>
      <c r="D427" s="53"/>
      <c r="E427" s="53"/>
    </row>
    <row r="428" ht="15.75" customHeight="1">
      <c r="A428" s="53"/>
      <c r="B428" s="53"/>
      <c r="C428" s="53"/>
      <c r="D428" s="53"/>
      <c r="E428" s="53"/>
    </row>
    <row r="429" ht="15.75" customHeight="1">
      <c r="A429" s="53"/>
      <c r="B429" s="53"/>
      <c r="C429" s="53"/>
      <c r="D429" s="53"/>
      <c r="E429" s="53"/>
    </row>
    <row r="430" ht="15.75" customHeight="1">
      <c r="A430" s="53"/>
      <c r="B430" s="53"/>
      <c r="C430" s="53"/>
      <c r="D430" s="53"/>
      <c r="E430" s="53"/>
    </row>
    <row r="431" ht="15.75" customHeight="1">
      <c r="A431" s="53"/>
      <c r="B431" s="53"/>
      <c r="C431" s="53"/>
      <c r="D431" s="53"/>
      <c r="E431" s="53"/>
    </row>
    <row r="432" ht="15.75" customHeight="1">
      <c r="A432" s="53"/>
      <c r="B432" s="53"/>
      <c r="C432" s="53"/>
      <c r="D432" s="53"/>
      <c r="E432" s="53"/>
    </row>
    <row r="433" ht="15.75" customHeight="1">
      <c r="A433" s="53"/>
      <c r="B433" s="53"/>
      <c r="C433" s="53"/>
      <c r="D433" s="53"/>
      <c r="E433" s="53"/>
    </row>
    <row r="434" ht="15.75" customHeight="1">
      <c r="A434" s="53"/>
      <c r="B434" s="53"/>
      <c r="C434" s="53"/>
      <c r="D434" s="53"/>
      <c r="E434" s="53"/>
    </row>
    <row r="435" ht="15.75" customHeight="1">
      <c r="A435" s="53"/>
      <c r="B435" s="53"/>
      <c r="C435" s="53"/>
      <c r="D435" s="53"/>
      <c r="E435" s="53"/>
    </row>
    <row r="436" ht="15.75" customHeight="1">
      <c r="A436" s="53"/>
      <c r="B436" s="53"/>
      <c r="C436" s="53"/>
      <c r="D436" s="53"/>
      <c r="E436" s="53"/>
    </row>
    <row r="437" ht="15.75" customHeight="1">
      <c r="A437" s="53"/>
      <c r="B437" s="53"/>
      <c r="C437" s="53"/>
      <c r="D437" s="53"/>
      <c r="E437" s="53"/>
    </row>
    <row r="438" ht="15.75" customHeight="1">
      <c r="A438" s="53"/>
      <c r="B438" s="53"/>
      <c r="C438" s="53"/>
      <c r="D438" s="53"/>
      <c r="E438" s="53"/>
    </row>
    <row r="439" ht="15.75" customHeight="1">
      <c r="A439" s="53"/>
      <c r="B439" s="53"/>
      <c r="C439" s="53"/>
      <c r="D439" s="53"/>
      <c r="E439" s="53"/>
    </row>
    <row r="440" ht="15.75" customHeight="1">
      <c r="A440" s="53"/>
      <c r="B440" s="53"/>
      <c r="C440" s="53"/>
      <c r="D440" s="53"/>
      <c r="E440" s="53"/>
    </row>
    <row r="441" ht="15.75" customHeight="1">
      <c r="A441" s="53"/>
      <c r="B441" s="53"/>
      <c r="C441" s="53"/>
      <c r="D441" s="53"/>
      <c r="E441" s="53"/>
    </row>
    <row r="442" ht="15.75" customHeight="1">
      <c r="A442" s="53"/>
      <c r="B442" s="53"/>
      <c r="C442" s="53"/>
      <c r="D442" s="53"/>
      <c r="E442" s="53"/>
    </row>
    <row r="443" ht="15.75" customHeight="1">
      <c r="A443" s="53"/>
      <c r="B443" s="53"/>
      <c r="C443" s="53"/>
      <c r="D443" s="53"/>
      <c r="E443" s="53"/>
    </row>
    <row r="444" ht="15.75" customHeight="1">
      <c r="A444" s="53"/>
      <c r="B444" s="53"/>
      <c r="C444" s="53"/>
      <c r="D444" s="53"/>
      <c r="E444" s="53"/>
    </row>
    <row r="445" ht="15.75" customHeight="1">
      <c r="A445" s="53"/>
      <c r="B445" s="53"/>
      <c r="C445" s="53"/>
      <c r="D445" s="53"/>
      <c r="E445" s="53"/>
    </row>
    <row r="446" ht="15.75" customHeight="1">
      <c r="A446" s="53"/>
      <c r="B446" s="53"/>
      <c r="C446" s="53"/>
      <c r="D446" s="53"/>
      <c r="E446" s="53"/>
    </row>
    <row r="447" ht="15.75" customHeight="1">
      <c r="A447" s="53"/>
      <c r="B447" s="53"/>
      <c r="C447" s="53"/>
      <c r="D447" s="53"/>
      <c r="E447" s="53"/>
    </row>
    <row r="448" ht="15.75" customHeight="1">
      <c r="A448" s="53"/>
      <c r="B448" s="53"/>
      <c r="C448" s="53"/>
      <c r="D448" s="53"/>
      <c r="E448" s="53"/>
    </row>
    <row r="449" ht="15.75" customHeight="1">
      <c r="A449" s="53"/>
      <c r="B449" s="53"/>
      <c r="C449" s="53"/>
      <c r="D449" s="53"/>
      <c r="E449" s="53"/>
    </row>
    <row r="450" ht="15.75" customHeight="1">
      <c r="A450" s="53"/>
      <c r="B450" s="53"/>
      <c r="C450" s="53"/>
      <c r="D450" s="53"/>
      <c r="E450" s="53"/>
    </row>
    <row r="451" ht="15.75" customHeight="1">
      <c r="A451" s="53"/>
      <c r="B451" s="53"/>
      <c r="C451" s="53"/>
      <c r="D451" s="53"/>
      <c r="E451" s="53"/>
    </row>
    <row r="452" ht="15.75" customHeight="1">
      <c r="A452" s="53"/>
      <c r="B452" s="53"/>
      <c r="C452" s="53"/>
      <c r="D452" s="53"/>
      <c r="E452" s="53"/>
    </row>
    <row r="453" ht="15.75" customHeight="1">
      <c r="A453" s="53"/>
      <c r="B453" s="53"/>
      <c r="C453" s="53"/>
      <c r="D453" s="53"/>
      <c r="E453" s="53"/>
    </row>
    <row r="454" ht="15.75" customHeight="1">
      <c r="A454" s="53"/>
      <c r="B454" s="53"/>
      <c r="C454" s="53"/>
      <c r="D454" s="53"/>
      <c r="E454" s="53"/>
    </row>
    <row r="455" ht="15.75" customHeight="1">
      <c r="A455" s="53"/>
      <c r="B455" s="53"/>
      <c r="C455" s="53"/>
      <c r="D455" s="53"/>
      <c r="E455" s="53"/>
    </row>
    <row r="456" ht="15.75" customHeight="1">
      <c r="A456" s="53"/>
      <c r="B456" s="53"/>
      <c r="C456" s="53"/>
      <c r="D456" s="53"/>
      <c r="E456" s="53"/>
    </row>
    <row r="457" ht="15.75" customHeight="1">
      <c r="A457" s="53"/>
      <c r="B457" s="53"/>
      <c r="C457" s="53"/>
      <c r="D457" s="53"/>
      <c r="E457" s="53"/>
    </row>
    <row r="458" ht="15.75" customHeight="1">
      <c r="A458" s="53"/>
      <c r="B458" s="53"/>
      <c r="C458" s="53"/>
      <c r="D458" s="53"/>
      <c r="E458" s="53"/>
    </row>
    <row r="459" ht="15.75" customHeight="1">
      <c r="A459" s="53"/>
      <c r="B459" s="53"/>
      <c r="C459" s="53"/>
      <c r="D459" s="53"/>
      <c r="E459" s="53"/>
    </row>
    <row r="460" ht="15.75" customHeight="1">
      <c r="A460" s="53"/>
      <c r="B460" s="53"/>
      <c r="C460" s="53"/>
      <c r="D460" s="53"/>
      <c r="E460" s="53"/>
    </row>
    <row r="461" ht="15.75" customHeight="1">
      <c r="A461" s="53"/>
      <c r="B461" s="53"/>
      <c r="C461" s="53"/>
      <c r="D461" s="53"/>
      <c r="E461" s="53"/>
    </row>
    <row r="462" ht="15.75" customHeight="1">
      <c r="A462" s="53"/>
      <c r="B462" s="53"/>
      <c r="C462" s="53"/>
      <c r="D462" s="53"/>
      <c r="E462" s="53"/>
    </row>
    <row r="463" ht="15.75" customHeight="1">
      <c r="A463" s="53"/>
      <c r="B463" s="53"/>
      <c r="C463" s="53"/>
      <c r="D463" s="53"/>
      <c r="E463" s="53"/>
    </row>
    <row r="464" ht="15.75" customHeight="1">
      <c r="A464" s="53"/>
      <c r="B464" s="53"/>
      <c r="C464" s="53"/>
      <c r="D464" s="53"/>
      <c r="E464" s="53"/>
    </row>
    <row r="465" ht="15.75" customHeight="1">
      <c r="A465" s="53"/>
      <c r="B465" s="53"/>
      <c r="C465" s="53"/>
      <c r="D465" s="53"/>
      <c r="E465" s="53"/>
    </row>
    <row r="466" ht="15.75" customHeight="1">
      <c r="A466" s="53"/>
      <c r="B466" s="53"/>
      <c r="C466" s="53"/>
      <c r="D466" s="53"/>
      <c r="E466" s="53"/>
    </row>
    <row r="467" ht="15.75" customHeight="1">
      <c r="A467" s="53"/>
      <c r="B467" s="53"/>
      <c r="C467" s="53"/>
      <c r="D467" s="53"/>
      <c r="E467" s="53"/>
    </row>
    <row r="468" ht="15.75" customHeight="1">
      <c r="A468" s="53"/>
      <c r="B468" s="53"/>
      <c r="C468" s="53"/>
      <c r="D468" s="53"/>
      <c r="E468" s="53"/>
    </row>
    <row r="469" ht="15.75" customHeight="1">
      <c r="A469" s="53"/>
      <c r="B469" s="53"/>
      <c r="C469" s="53"/>
      <c r="D469" s="53"/>
      <c r="E469" s="53"/>
    </row>
    <row r="470" ht="15.75" customHeight="1">
      <c r="A470" s="53"/>
      <c r="B470" s="53"/>
      <c r="C470" s="53"/>
      <c r="D470" s="53"/>
      <c r="E470" s="53"/>
    </row>
    <row r="471" ht="15.75" customHeight="1">
      <c r="A471" s="53"/>
      <c r="B471" s="53"/>
      <c r="C471" s="53"/>
      <c r="D471" s="53"/>
      <c r="E471" s="53"/>
    </row>
    <row r="472" ht="15.75" customHeight="1">
      <c r="A472" s="53"/>
      <c r="B472" s="53"/>
      <c r="C472" s="53"/>
      <c r="D472" s="53"/>
      <c r="E472" s="53"/>
    </row>
    <row r="473" ht="15.75" customHeight="1">
      <c r="A473" s="53"/>
      <c r="B473" s="53"/>
      <c r="C473" s="53"/>
      <c r="D473" s="53"/>
      <c r="E473" s="53"/>
    </row>
    <row r="474" ht="15.75" customHeight="1">
      <c r="A474" s="53"/>
      <c r="B474" s="53"/>
      <c r="C474" s="53"/>
      <c r="D474" s="53"/>
      <c r="E474" s="53"/>
    </row>
    <row r="475" ht="15.75" customHeight="1">
      <c r="A475" s="53"/>
      <c r="B475" s="53"/>
      <c r="C475" s="53"/>
      <c r="D475" s="53"/>
      <c r="E475" s="53"/>
    </row>
    <row r="476" ht="15.75" customHeight="1">
      <c r="A476" s="53"/>
      <c r="B476" s="53"/>
      <c r="C476" s="53"/>
      <c r="D476" s="53"/>
      <c r="E476" s="53"/>
    </row>
    <row r="477" ht="15.75" customHeight="1">
      <c r="A477" s="53"/>
      <c r="B477" s="53"/>
      <c r="C477" s="53"/>
      <c r="D477" s="53"/>
      <c r="E477" s="53"/>
    </row>
    <row r="478" ht="15.75" customHeight="1">
      <c r="A478" s="53"/>
      <c r="B478" s="53"/>
      <c r="C478" s="53"/>
      <c r="D478" s="53"/>
      <c r="E478" s="53"/>
    </row>
    <row r="479" ht="15.75" customHeight="1">
      <c r="A479" s="53"/>
      <c r="B479" s="53"/>
      <c r="C479" s="53"/>
      <c r="D479" s="53"/>
      <c r="E479" s="53"/>
    </row>
    <row r="480" ht="15.75" customHeight="1">
      <c r="A480" s="53"/>
      <c r="B480" s="53"/>
      <c r="C480" s="53"/>
      <c r="D480" s="53"/>
      <c r="E480" s="53"/>
    </row>
    <row r="481" ht="15.75" customHeight="1">
      <c r="A481" s="53"/>
      <c r="B481" s="53"/>
      <c r="C481" s="53"/>
      <c r="D481" s="53"/>
      <c r="E481" s="53"/>
    </row>
    <row r="482" ht="15.75" customHeight="1">
      <c r="A482" s="53"/>
      <c r="B482" s="53"/>
      <c r="C482" s="53"/>
      <c r="D482" s="53"/>
      <c r="E482" s="53"/>
    </row>
    <row r="483" ht="15.75" customHeight="1">
      <c r="A483" s="53"/>
      <c r="B483" s="53"/>
      <c r="C483" s="53"/>
      <c r="D483" s="53"/>
      <c r="E483" s="53"/>
    </row>
    <row r="484" ht="15.75" customHeight="1">
      <c r="A484" s="53"/>
      <c r="B484" s="53"/>
      <c r="C484" s="53"/>
      <c r="D484" s="53"/>
      <c r="E484" s="53"/>
    </row>
    <row r="485" ht="15.75" customHeight="1">
      <c r="A485" s="53"/>
      <c r="B485" s="53"/>
      <c r="C485" s="53"/>
      <c r="D485" s="53"/>
      <c r="E485" s="53"/>
    </row>
    <row r="486" ht="15.75" customHeight="1">
      <c r="A486" s="53"/>
      <c r="B486" s="53"/>
      <c r="C486" s="53"/>
      <c r="D486" s="53"/>
      <c r="E486" s="53"/>
    </row>
    <row r="487" ht="15.75" customHeight="1">
      <c r="A487" s="53"/>
      <c r="B487" s="53"/>
      <c r="C487" s="53"/>
      <c r="D487" s="53"/>
      <c r="E487" s="53"/>
    </row>
    <row r="488" ht="15.75" customHeight="1">
      <c r="A488" s="53"/>
      <c r="B488" s="53"/>
      <c r="C488" s="53"/>
      <c r="D488" s="53"/>
      <c r="E488" s="53"/>
    </row>
    <row r="489" ht="15.75" customHeight="1">
      <c r="A489" s="53"/>
      <c r="B489" s="53"/>
      <c r="C489" s="53"/>
      <c r="D489" s="53"/>
      <c r="E489" s="53"/>
    </row>
    <row r="490" ht="15.75" customHeight="1">
      <c r="A490" s="53"/>
      <c r="B490" s="53"/>
      <c r="C490" s="53"/>
      <c r="D490" s="53"/>
      <c r="E490" s="53"/>
    </row>
    <row r="491" ht="15.75" customHeight="1">
      <c r="A491" s="53"/>
      <c r="B491" s="53"/>
      <c r="C491" s="53"/>
      <c r="D491" s="53"/>
      <c r="E491" s="53"/>
    </row>
    <row r="492" ht="15.75" customHeight="1">
      <c r="A492" s="53"/>
      <c r="B492" s="53"/>
      <c r="C492" s="53"/>
      <c r="D492" s="53"/>
      <c r="E492" s="53"/>
    </row>
    <row r="493" ht="15.75" customHeight="1">
      <c r="A493" s="53"/>
      <c r="B493" s="53"/>
      <c r="C493" s="53"/>
      <c r="D493" s="53"/>
      <c r="E493" s="53"/>
    </row>
    <row r="494" ht="15.75" customHeight="1">
      <c r="A494" s="53"/>
      <c r="B494" s="53"/>
      <c r="C494" s="53"/>
      <c r="D494" s="53"/>
      <c r="E494" s="53"/>
    </row>
    <row r="495" ht="15.75" customHeight="1">
      <c r="A495" s="53"/>
      <c r="B495" s="53"/>
      <c r="C495" s="53"/>
      <c r="D495" s="53"/>
      <c r="E495" s="53"/>
    </row>
    <row r="496" ht="15.75" customHeight="1">
      <c r="A496" s="53"/>
      <c r="B496" s="53"/>
      <c r="C496" s="53"/>
      <c r="D496" s="53"/>
      <c r="E496" s="53"/>
    </row>
    <row r="497" ht="15.75" customHeight="1">
      <c r="A497" s="53"/>
      <c r="B497" s="53"/>
      <c r="C497" s="53"/>
      <c r="D497" s="53"/>
      <c r="E497" s="53"/>
    </row>
    <row r="498" ht="15.75" customHeight="1">
      <c r="A498" s="53"/>
      <c r="B498" s="53"/>
      <c r="C498" s="53"/>
      <c r="D498" s="53"/>
      <c r="E498" s="53"/>
    </row>
    <row r="499" ht="15.75" customHeight="1">
      <c r="A499" s="53"/>
      <c r="B499" s="53"/>
      <c r="C499" s="53"/>
      <c r="D499" s="53"/>
      <c r="E499" s="53"/>
    </row>
    <row r="500" ht="15.75" customHeight="1">
      <c r="A500" s="53"/>
      <c r="B500" s="53"/>
      <c r="C500" s="53"/>
      <c r="D500" s="53"/>
      <c r="E500" s="53"/>
    </row>
    <row r="501" ht="15.75" customHeight="1">
      <c r="A501" s="53"/>
      <c r="B501" s="53"/>
      <c r="C501" s="53"/>
      <c r="D501" s="53"/>
      <c r="E501" s="53"/>
    </row>
    <row r="502" ht="15.75" customHeight="1">
      <c r="A502" s="53"/>
      <c r="B502" s="53"/>
      <c r="C502" s="53"/>
      <c r="D502" s="53"/>
      <c r="E502" s="53"/>
    </row>
    <row r="503" ht="15.75" customHeight="1">
      <c r="A503" s="53"/>
      <c r="B503" s="53"/>
      <c r="C503" s="53"/>
      <c r="D503" s="53"/>
      <c r="E503" s="53"/>
    </row>
    <row r="504" ht="15.75" customHeight="1">
      <c r="A504" s="53"/>
      <c r="B504" s="53"/>
      <c r="C504" s="53"/>
      <c r="D504" s="53"/>
      <c r="E504" s="53"/>
    </row>
    <row r="505" ht="15.75" customHeight="1">
      <c r="A505" s="53"/>
      <c r="B505" s="53"/>
      <c r="C505" s="53"/>
      <c r="D505" s="53"/>
      <c r="E505" s="53"/>
    </row>
    <row r="506" ht="15.75" customHeight="1">
      <c r="A506" s="53"/>
      <c r="B506" s="53"/>
      <c r="C506" s="53"/>
      <c r="D506" s="53"/>
      <c r="E506" s="53"/>
    </row>
    <row r="507" ht="15.75" customHeight="1">
      <c r="A507" s="53"/>
      <c r="B507" s="53"/>
      <c r="C507" s="53"/>
      <c r="D507" s="53"/>
      <c r="E507" s="53"/>
    </row>
    <row r="508" ht="15.75" customHeight="1">
      <c r="A508" s="53"/>
      <c r="B508" s="53"/>
      <c r="C508" s="53"/>
      <c r="D508" s="53"/>
      <c r="E508" s="53"/>
    </row>
    <row r="509" ht="15.75" customHeight="1">
      <c r="A509" s="53"/>
      <c r="B509" s="53"/>
      <c r="C509" s="53"/>
      <c r="D509" s="53"/>
      <c r="E509" s="53"/>
    </row>
    <row r="510" ht="15.75" customHeight="1">
      <c r="A510" s="53"/>
      <c r="B510" s="53"/>
      <c r="C510" s="53"/>
      <c r="D510" s="53"/>
      <c r="E510" s="53"/>
    </row>
    <row r="511" ht="15.75" customHeight="1">
      <c r="A511" s="53"/>
      <c r="B511" s="53"/>
      <c r="C511" s="53"/>
      <c r="D511" s="53"/>
      <c r="E511" s="53"/>
    </row>
    <row r="512" ht="15.75" customHeight="1">
      <c r="A512" s="53"/>
      <c r="B512" s="53"/>
      <c r="C512" s="53"/>
      <c r="D512" s="53"/>
      <c r="E512" s="53"/>
    </row>
    <row r="513" ht="15.75" customHeight="1">
      <c r="A513" s="53"/>
      <c r="B513" s="53"/>
      <c r="C513" s="53"/>
      <c r="D513" s="53"/>
      <c r="E513" s="53"/>
    </row>
    <row r="514" ht="15.75" customHeight="1">
      <c r="A514" s="53"/>
      <c r="B514" s="53"/>
      <c r="C514" s="53"/>
      <c r="D514" s="53"/>
      <c r="E514" s="53"/>
    </row>
    <row r="515" ht="15.75" customHeight="1">
      <c r="A515" s="53"/>
      <c r="B515" s="53"/>
      <c r="C515" s="53"/>
      <c r="D515" s="53"/>
      <c r="E515" s="53"/>
    </row>
    <row r="516" ht="15.75" customHeight="1">
      <c r="A516" s="53"/>
      <c r="B516" s="53"/>
      <c r="C516" s="53"/>
      <c r="D516" s="53"/>
      <c r="E516" s="53"/>
    </row>
    <row r="517" ht="15.75" customHeight="1">
      <c r="A517" s="53"/>
      <c r="B517" s="53"/>
      <c r="C517" s="53"/>
      <c r="D517" s="53"/>
      <c r="E517" s="53"/>
    </row>
    <row r="518" ht="15.75" customHeight="1">
      <c r="A518" s="53"/>
      <c r="B518" s="53"/>
      <c r="C518" s="53"/>
      <c r="D518" s="53"/>
      <c r="E518" s="53"/>
    </row>
    <row r="519" ht="15.75" customHeight="1">
      <c r="A519" s="53"/>
      <c r="B519" s="53"/>
      <c r="C519" s="53"/>
      <c r="D519" s="53"/>
      <c r="E519" s="53"/>
    </row>
    <row r="520" ht="15.75" customHeight="1">
      <c r="A520" s="53"/>
      <c r="B520" s="53"/>
      <c r="C520" s="53"/>
      <c r="D520" s="53"/>
      <c r="E520" s="53"/>
    </row>
    <row r="521" ht="15.75" customHeight="1">
      <c r="A521" s="53"/>
      <c r="B521" s="53"/>
      <c r="C521" s="53"/>
      <c r="D521" s="53"/>
      <c r="E521" s="53"/>
    </row>
    <row r="522" ht="15.75" customHeight="1">
      <c r="A522" s="53"/>
      <c r="B522" s="53"/>
      <c r="C522" s="53"/>
      <c r="D522" s="53"/>
      <c r="E522" s="53"/>
    </row>
    <row r="523" ht="15.75" customHeight="1">
      <c r="A523" s="53"/>
      <c r="B523" s="53"/>
      <c r="C523" s="53"/>
      <c r="D523" s="53"/>
      <c r="E523" s="53"/>
    </row>
    <row r="524" ht="15.75" customHeight="1">
      <c r="A524" s="53"/>
      <c r="B524" s="53"/>
      <c r="C524" s="53"/>
      <c r="D524" s="53"/>
      <c r="E524" s="53"/>
    </row>
    <row r="525" ht="15.75" customHeight="1">
      <c r="A525" s="53"/>
      <c r="B525" s="53"/>
      <c r="C525" s="53"/>
      <c r="D525" s="53"/>
      <c r="E525" s="53"/>
    </row>
    <row r="526" ht="15.75" customHeight="1">
      <c r="A526" s="53"/>
      <c r="B526" s="53"/>
      <c r="C526" s="53"/>
      <c r="D526" s="53"/>
      <c r="E526" s="53"/>
    </row>
    <row r="527" ht="15.75" customHeight="1">
      <c r="A527" s="53"/>
      <c r="B527" s="53"/>
      <c r="C527" s="53"/>
      <c r="D527" s="53"/>
      <c r="E527" s="53"/>
    </row>
    <row r="528" ht="15.75" customHeight="1">
      <c r="A528" s="53"/>
      <c r="B528" s="53"/>
      <c r="C528" s="53"/>
      <c r="D528" s="53"/>
      <c r="E528" s="53"/>
    </row>
    <row r="529" ht="15.75" customHeight="1">
      <c r="A529" s="53"/>
      <c r="B529" s="53"/>
      <c r="C529" s="53"/>
      <c r="D529" s="53"/>
      <c r="E529" s="53"/>
    </row>
    <row r="530" ht="15.75" customHeight="1">
      <c r="A530" s="53"/>
      <c r="B530" s="53"/>
      <c r="C530" s="53"/>
      <c r="D530" s="53"/>
      <c r="E530" s="53"/>
    </row>
    <row r="531" ht="15.75" customHeight="1">
      <c r="A531" s="53"/>
      <c r="B531" s="53"/>
      <c r="C531" s="53"/>
      <c r="D531" s="53"/>
      <c r="E531" s="53"/>
    </row>
    <row r="532" ht="15.75" customHeight="1">
      <c r="A532" s="53"/>
      <c r="B532" s="53"/>
      <c r="C532" s="53"/>
      <c r="D532" s="53"/>
      <c r="E532" s="53"/>
    </row>
    <row r="533" ht="15.75" customHeight="1">
      <c r="A533" s="53"/>
      <c r="B533" s="53"/>
      <c r="C533" s="53"/>
      <c r="D533" s="53"/>
      <c r="E533" s="53"/>
    </row>
    <row r="534" ht="15.75" customHeight="1">
      <c r="A534" s="53"/>
      <c r="B534" s="53"/>
      <c r="C534" s="53"/>
      <c r="D534" s="53"/>
      <c r="E534" s="53"/>
    </row>
    <row r="535" ht="15.75" customHeight="1">
      <c r="A535" s="53"/>
      <c r="B535" s="53"/>
      <c r="C535" s="53"/>
      <c r="D535" s="53"/>
      <c r="E535" s="53"/>
    </row>
    <row r="536" ht="15.75" customHeight="1">
      <c r="A536" s="53"/>
      <c r="B536" s="53"/>
      <c r="C536" s="53"/>
      <c r="D536" s="53"/>
      <c r="E536" s="53"/>
    </row>
    <row r="537" ht="15.75" customHeight="1">
      <c r="A537" s="53"/>
      <c r="B537" s="53"/>
      <c r="C537" s="53"/>
      <c r="D537" s="53"/>
      <c r="E537" s="53"/>
    </row>
    <row r="538" ht="15.75" customHeight="1">
      <c r="A538" s="53"/>
      <c r="B538" s="53"/>
      <c r="C538" s="53"/>
      <c r="D538" s="53"/>
      <c r="E538" s="53"/>
    </row>
    <row r="539" ht="15.75" customHeight="1">
      <c r="A539" s="53"/>
      <c r="B539" s="53"/>
      <c r="C539" s="53"/>
      <c r="D539" s="53"/>
      <c r="E539" s="53"/>
    </row>
    <row r="540" ht="15.75" customHeight="1">
      <c r="A540" s="53"/>
      <c r="B540" s="53"/>
      <c r="C540" s="53"/>
      <c r="D540" s="53"/>
      <c r="E540" s="53"/>
    </row>
    <row r="541" ht="15.75" customHeight="1">
      <c r="A541" s="53"/>
      <c r="B541" s="53"/>
      <c r="C541" s="53"/>
      <c r="D541" s="53"/>
      <c r="E541" s="53"/>
    </row>
    <row r="542" ht="15.75" customHeight="1">
      <c r="A542" s="53"/>
      <c r="B542" s="53"/>
      <c r="C542" s="53"/>
      <c r="D542" s="53"/>
      <c r="E542" s="53"/>
    </row>
    <row r="543" ht="15.75" customHeight="1">
      <c r="A543" s="53"/>
      <c r="B543" s="53"/>
      <c r="C543" s="53"/>
      <c r="D543" s="53"/>
      <c r="E543" s="53"/>
    </row>
    <row r="544" ht="15.75" customHeight="1">
      <c r="A544" s="53"/>
      <c r="B544" s="53"/>
      <c r="C544" s="53"/>
      <c r="D544" s="53"/>
      <c r="E544" s="53"/>
    </row>
    <row r="545" ht="15.75" customHeight="1">
      <c r="A545" s="53"/>
      <c r="B545" s="53"/>
      <c r="C545" s="53"/>
      <c r="D545" s="53"/>
      <c r="E545" s="53"/>
    </row>
    <row r="546" ht="15.75" customHeight="1">
      <c r="A546" s="53"/>
      <c r="B546" s="53"/>
      <c r="C546" s="53"/>
      <c r="D546" s="53"/>
      <c r="E546" s="53"/>
    </row>
    <row r="547" ht="15.75" customHeight="1">
      <c r="A547" s="53"/>
      <c r="B547" s="53"/>
      <c r="C547" s="53"/>
      <c r="D547" s="53"/>
      <c r="E547" s="53"/>
    </row>
    <row r="548" ht="15.75" customHeight="1">
      <c r="A548" s="53"/>
      <c r="B548" s="53"/>
      <c r="C548" s="53"/>
      <c r="D548" s="53"/>
      <c r="E548" s="53"/>
    </row>
    <row r="549" ht="15.75" customHeight="1">
      <c r="A549" s="53"/>
      <c r="B549" s="53"/>
      <c r="C549" s="53"/>
      <c r="D549" s="53"/>
      <c r="E549" s="53"/>
    </row>
    <row r="550" ht="15.75" customHeight="1">
      <c r="A550" s="53"/>
      <c r="B550" s="53"/>
      <c r="C550" s="53"/>
      <c r="D550" s="53"/>
      <c r="E550" s="53"/>
    </row>
    <row r="551" ht="15.75" customHeight="1">
      <c r="A551" s="53"/>
      <c r="B551" s="53"/>
      <c r="C551" s="53"/>
      <c r="D551" s="53"/>
      <c r="E551" s="53"/>
    </row>
    <row r="552" ht="15.75" customHeight="1">
      <c r="A552" s="53"/>
      <c r="B552" s="53"/>
      <c r="C552" s="53"/>
      <c r="D552" s="53"/>
      <c r="E552" s="53"/>
    </row>
    <row r="553" ht="15.75" customHeight="1">
      <c r="A553" s="53"/>
      <c r="B553" s="53"/>
      <c r="C553" s="53"/>
      <c r="D553" s="53"/>
      <c r="E553" s="53"/>
    </row>
    <row r="554" ht="15.75" customHeight="1">
      <c r="A554" s="53"/>
      <c r="B554" s="53"/>
      <c r="C554" s="53"/>
      <c r="D554" s="53"/>
      <c r="E554" s="53"/>
    </row>
    <row r="555" ht="15.75" customHeight="1">
      <c r="A555" s="53"/>
      <c r="B555" s="53"/>
      <c r="C555" s="53"/>
      <c r="D555" s="53"/>
      <c r="E555" s="53"/>
    </row>
    <row r="556" ht="15.75" customHeight="1">
      <c r="A556" s="53"/>
      <c r="B556" s="53"/>
      <c r="C556" s="53"/>
      <c r="D556" s="53"/>
      <c r="E556" s="53"/>
    </row>
    <row r="557" ht="15.75" customHeight="1">
      <c r="A557" s="53"/>
      <c r="B557" s="53"/>
      <c r="C557" s="53"/>
      <c r="D557" s="53"/>
      <c r="E557" s="53"/>
    </row>
    <row r="558" ht="15.75" customHeight="1">
      <c r="A558" s="53"/>
      <c r="B558" s="53"/>
      <c r="C558" s="53"/>
      <c r="D558" s="53"/>
      <c r="E558" s="53"/>
    </row>
    <row r="559" ht="15.75" customHeight="1">
      <c r="A559" s="53"/>
      <c r="B559" s="53"/>
      <c r="C559" s="53"/>
      <c r="D559" s="53"/>
      <c r="E559" s="53"/>
    </row>
    <row r="560" ht="15.75" customHeight="1">
      <c r="A560" s="53"/>
      <c r="B560" s="53"/>
      <c r="C560" s="53"/>
      <c r="D560" s="53"/>
      <c r="E560" s="53"/>
    </row>
    <row r="561" ht="15.75" customHeight="1">
      <c r="A561" s="53"/>
      <c r="B561" s="53"/>
      <c r="C561" s="53"/>
      <c r="D561" s="53"/>
      <c r="E561" s="53"/>
    </row>
    <row r="562" ht="15.75" customHeight="1">
      <c r="A562" s="53"/>
      <c r="B562" s="53"/>
      <c r="C562" s="53"/>
      <c r="D562" s="53"/>
      <c r="E562" s="53"/>
    </row>
    <row r="563" ht="15.75" customHeight="1">
      <c r="A563" s="53"/>
      <c r="B563" s="53"/>
      <c r="C563" s="53"/>
      <c r="D563" s="53"/>
      <c r="E563" s="53"/>
    </row>
    <row r="564" ht="15.75" customHeight="1">
      <c r="A564" s="53"/>
      <c r="B564" s="53"/>
      <c r="C564" s="53"/>
      <c r="D564" s="53"/>
      <c r="E564" s="53"/>
    </row>
    <row r="565" ht="15.75" customHeight="1">
      <c r="A565" s="53"/>
      <c r="B565" s="53"/>
      <c r="C565" s="53"/>
      <c r="D565" s="53"/>
      <c r="E565" s="53"/>
    </row>
    <row r="566" ht="15.75" customHeight="1">
      <c r="A566" s="53"/>
      <c r="B566" s="53"/>
      <c r="C566" s="53"/>
      <c r="D566" s="53"/>
      <c r="E566" s="53"/>
    </row>
    <row r="567" ht="15.75" customHeight="1">
      <c r="A567" s="53"/>
      <c r="B567" s="53"/>
      <c r="C567" s="53"/>
      <c r="D567" s="53"/>
      <c r="E567" s="53"/>
    </row>
    <row r="568" ht="15.75" customHeight="1">
      <c r="A568" s="53"/>
      <c r="B568" s="53"/>
      <c r="C568" s="53"/>
      <c r="D568" s="53"/>
      <c r="E568" s="53"/>
    </row>
    <row r="569" ht="15.75" customHeight="1">
      <c r="A569" s="53"/>
      <c r="B569" s="53"/>
      <c r="C569" s="53"/>
      <c r="D569" s="53"/>
      <c r="E569" s="53"/>
    </row>
    <row r="570" ht="15.75" customHeight="1">
      <c r="A570" s="53"/>
      <c r="B570" s="53"/>
      <c r="C570" s="53"/>
      <c r="D570" s="53"/>
      <c r="E570" s="53"/>
    </row>
    <row r="571" ht="15.75" customHeight="1">
      <c r="A571" s="53"/>
      <c r="B571" s="53"/>
      <c r="C571" s="53"/>
      <c r="D571" s="53"/>
      <c r="E571" s="53"/>
    </row>
    <row r="572" ht="15.75" customHeight="1">
      <c r="A572" s="53"/>
      <c r="B572" s="53"/>
      <c r="C572" s="53"/>
      <c r="D572" s="53"/>
      <c r="E572" s="53"/>
    </row>
    <row r="573" ht="15.75" customHeight="1">
      <c r="A573" s="53"/>
      <c r="B573" s="53"/>
      <c r="C573" s="53"/>
      <c r="D573" s="53"/>
      <c r="E573" s="53"/>
    </row>
    <row r="574" ht="15.75" customHeight="1">
      <c r="A574" s="53"/>
      <c r="B574" s="53"/>
      <c r="C574" s="53"/>
      <c r="D574" s="53"/>
      <c r="E574" s="53"/>
    </row>
    <row r="575" ht="15.75" customHeight="1">
      <c r="A575" s="53"/>
      <c r="B575" s="53"/>
      <c r="C575" s="53"/>
      <c r="D575" s="53"/>
      <c r="E575" s="53"/>
    </row>
    <row r="576" ht="15.75" customHeight="1">
      <c r="A576" s="53"/>
      <c r="B576" s="53"/>
      <c r="C576" s="53"/>
      <c r="D576" s="53"/>
      <c r="E576" s="53"/>
    </row>
    <row r="577" ht="15.75" customHeight="1">
      <c r="A577" s="53"/>
      <c r="B577" s="53"/>
      <c r="C577" s="53"/>
      <c r="D577" s="53"/>
      <c r="E577" s="53"/>
    </row>
    <row r="578" ht="15.75" customHeight="1">
      <c r="A578" s="53"/>
      <c r="B578" s="53"/>
      <c r="C578" s="53"/>
      <c r="D578" s="53"/>
      <c r="E578" s="53"/>
    </row>
    <row r="579" ht="15.75" customHeight="1">
      <c r="A579" s="53"/>
      <c r="B579" s="53"/>
      <c r="C579" s="53"/>
      <c r="D579" s="53"/>
      <c r="E579" s="53"/>
    </row>
    <row r="580" ht="15.75" customHeight="1">
      <c r="A580" s="53"/>
      <c r="B580" s="53"/>
      <c r="C580" s="53"/>
      <c r="D580" s="53"/>
      <c r="E580" s="53"/>
    </row>
    <row r="581" ht="15.75" customHeight="1">
      <c r="A581" s="53"/>
      <c r="B581" s="53"/>
      <c r="C581" s="53"/>
      <c r="D581" s="53"/>
      <c r="E581" s="53"/>
    </row>
    <row r="582" ht="15.75" customHeight="1">
      <c r="A582" s="53"/>
      <c r="B582" s="53"/>
      <c r="C582" s="53"/>
      <c r="D582" s="53"/>
      <c r="E582" s="53"/>
    </row>
    <row r="583" ht="15.75" customHeight="1">
      <c r="A583" s="53"/>
      <c r="B583" s="53"/>
      <c r="C583" s="53"/>
      <c r="D583" s="53"/>
      <c r="E583" s="53"/>
    </row>
    <row r="584" ht="15.75" customHeight="1">
      <c r="A584" s="53"/>
      <c r="B584" s="53"/>
      <c r="C584" s="53"/>
      <c r="D584" s="53"/>
      <c r="E584" s="53"/>
    </row>
    <row r="585" ht="15.75" customHeight="1">
      <c r="A585" s="53"/>
      <c r="B585" s="53"/>
      <c r="C585" s="53"/>
      <c r="D585" s="53"/>
      <c r="E585" s="53"/>
    </row>
    <row r="586" ht="15.75" customHeight="1">
      <c r="A586" s="53"/>
      <c r="B586" s="53"/>
      <c r="C586" s="53"/>
      <c r="D586" s="53"/>
      <c r="E586" s="53"/>
    </row>
    <row r="587" ht="15.75" customHeight="1">
      <c r="A587" s="53"/>
      <c r="B587" s="53"/>
      <c r="C587" s="53"/>
      <c r="D587" s="53"/>
      <c r="E587" s="53"/>
    </row>
    <row r="588" ht="15.75" customHeight="1">
      <c r="A588" s="53"/>
      <c r="B588" s="53"/>
      <c r="C588" s="53"/>
      <c r="D588" s="53"/>
      <c r="E588" s="53"/>
    </row>
    <row r="589" ht="15.75" customHeight="1">
      <c r="A589" s="53"/>
      <c r="B589" s="53"/>
      <c r="C589" s="53"/>
      <c r="D589" s="53"/>
      <c r="E589" s="53"/>
    </row>
    <row r="590" ht="15.75" customHeight="1">
      <c r="A590" s="53"/>
      <c r="B590" s="53"/>
      <c r="C590" s="53"/>
      <c r="D590" s="53"/>
      <c r="E590" s="53"/>
    </row>
    <row r="591" ht="15.75" customHeight="1">
      <c r="A591" s="53"/>
      <c r="B591" s="53"/>
      <c r="C591" s="53"/>
      <c r="D591" s="53"/>
      <c r="E591" s="53"/>
    </row>
    <row r="592" ht="15.75" customHeight="1">
      <c r="A592" s="53"/>
      <c r="B592" s="53"/>
      <c r="C592" s="53"/>
      <c r="D592" s="53"/>
      <c r="E592" s="53"/>
    </row>
    <row r="593" ht="15.75" customHeight="1">
      <c r="A593" s="53"/>
      <c r="B593" s="53"/>
      <c r="C593" s="53"/>
      <c r="D593" s="53"/>
      <c r="E593" s="53"/>
    </row>
    <row r="594" ht="15.75" customHeight="1">
      <c r="A594" s="53"/>
      <c r="B594" s="53"/>
      <c r="C594" s="53"/>
      <c r="D594" s="53"/>
      <c r="E594" s="53"/>
    </row>
    <row r="595" ht="15.75" customHeight="1">
      <c r="A595" s="53"/>
      <c r="B595" s="53"/>
      <c r="C595" s="53"/>
      <c r="D595" s="53"/>
      <c r="E595" s="53"/>
    </row>
    <row r="596" ht="15.75" customHeight="1">
      <c r="A596" s="53"/>
      <c r="B596" s="53"/>
      <c r="C596" s="53"/>
      <c r="D596" s="53"/>
      <c r="E596" s="53"/>
    </row>
    <row r="597" ht="15.75" customHeight="1">
      <c r="A597" s="53"/>
      <c r="B597" s="53"/>
      <c r="C597" s="53"/>
      <c r="D597" s="53"/>
      <c r="E597" s="53"/>
    </row>
    <row r="598" ht="15.75" customHeight="1">
      <c r="A598" s="53"/>
      <c r="B598" s="53"/>
      <c r="C598" s="53"/>
      <c r="D598" s="53"/>
      <c r="E598" s="53"/>
    </row>
    <row r="599" ht="15.75" customHeight="1">
      <c r="A599" s="53"/>
      <c r="B599" s="53"/>
      <c r="C599" s="53"/>
      <c r="D599" s="53"/>
      <c r="E599" s="53"/>
    </row>
    <row r="600" ht="15.75" customHeight="1">
      <c r="A600" s="53"/>
      <c r="B600" s="53"/>
      <c r="C600" s="53"/>
      <c r="D600" s="53"/>
      <c r="E600" s="53"/>
    </row>
    <row r="601" ht="15.75" customHeight="1">
      <c r="A601" s="53"/>
      <c r="B601" s="53"/>
      <c r="C601" s="53"/>
      <c r="D601" s="53"/>
      <c r="E601" s="53"/>
    </row>
    <row r="602" ht="15.75" customHeight="1">
      <c r="A602" s="53"/>
      <c r="B602" s="53"/>
      <c r="C602" s="53"/>
      <c r="D602" s="53"/>
      <c r="E602" s="53"/>
    </row>
    <row r="603" ht="15.75" customHeight="1">
      <c r="A603" s="53"/>
      <c r="B603" s="53"/>
      <c r="C603" s="53"/>
      <c r="D603" s="53"/>
      <c r="E603" s="53"/>
    </row>
    <row r="604" ht="15.75" customHeight="1">
      <c r="A604" s="53"/>
      <c r="B604" s="53"/>
      <c r="C604" s="53"/>
      <c r="D604" s="53"/>
      <c r="E604" s="53"/>
    </row>
    <row r="605" ht="15.75" customHeight="1">
      <c r="A605" s="53"/>
      <c r="B605" s="53"/>
      <c r="C605" s="53"/>
      <c r="D605" s="53"/>
      <c r="E605" s="53"/>
    </row>
    <row r="606" ht="15.75" customHeight="1">
      <c r="A606" s="53"/>
      <c r="B606" s="53"/>
      <c r="C606" s="53"/>
      <c r="D606" s="53"/>
      <c r="E606" s="53"/>
    </row>
    <row r="607" ht="15.75" customHeight="1">
      <c r="A607" s="53"/>
      <c r="B607" s="53"/>
      <c r="C607" s="53"/>
      <c r="D607" s="53"/>
      <c r="E607" s="53"/>
    </row>
    <row r="608" ht="15.75" customHeight="1">
      <c r="A608" s="53"/>
      <c r="B608" s="53"/>
      <c r="C608" s="53"/>
      <c r="D608" s="53"/>
      <c r="E608" s="53"/>
    </row>
    <row r="609" ht="15.75" customHeight="1">
      <c r="A609" s="53"/>
      <c r="B609" s="53"/>
      <c r="C609" s="53"/>
      <c r="D609" s="53"/>
      <c r="E609" s="53"/>
    </row>
    <row r="610" ht="15.75" customHeight="1">
      <c r="A610" s="53"/>
      <c r="B610" s="53"/>
      <c r="C610" s="53"/>
      <c r="D610" s="53"/>
      <c r="E610" s="53"/>
    </row>
    <row r="611" ht="15.75" customHeight="1">
      <c r="A611" s="53"/>
      <c r="B611" s="53"/>
      <c r="C611" s="53"/>
      <c r="D611" s="53"/>
      <c r="E611" s="53"/>
    </row>
    <row r="612" ht="15.75" customHeight="1">
      <c r="A612" s="53"/>
      <c r="B612" s="53"/>
      <c r="C612" s="53"/>
      <c r="D612" s="53"/>
      <c r="E612" s="53"/>
    </row>
    <row r="613" ht="15.75" customHeight="1">
      <c r="A613" s="53"/>
      <c r="B613" s="53"/>
      <c r="C613" s="53"/>
      <c r="D613" s="53"/>
      <c r="E613" s="53"/>
    </row>
    <row r="614" ht="15.75" customHeight="1">
      <c r="A614" s="53"/>
      <c r="B614" s="53"/>
      <c r="C614" s="53"/>
      <c r="D614" s="53"/>
      <c r="E614" s="53"/>
    </row>
    <row r="615" ht="15.75" customHeight="1">
      <c r="A615" s="53"/>
      <c r="B615" s="53"/>
      <c r="C615" s="53"/>
      <c r="D615" s="53"/>
      <c r="E615" s="53"/>
    </row>
    <row r="616" ht="15.75" customHeight="1">
      <c r="A616" s="53"/>
      <c r="B616" s="53"/>
      <c r="C616" s="53"/>
      <c r="D616" s="53"/>
      <c r="E616" s="53"/>
    </row>
    <row r="617" ht="15.75" customHeight="1">
      <c r="A617" s="53"/>
      <c r="B617" s="53"/>
      <c r="C617" s="53"/>
      <c r="D617" s="53"/>
      <c r="E617" s="53"/>
    </row>
    <row r="618" ht="15.75" customHeight="1">
      <c r="A618" s="53"/>
      <c r="B618" s="53"/>
      <c r="C618" s="53"/>
      <c r="D618" s="53"/>
      <c r="E618" s="53"/>
    </row>
    <row r="619" ht="15.75" customHeight="1">
      <c r="A619" s="53"/>
      <c r="B619" s="53"/>
      <c r="C619" s="53"/>
      <c r="D619" s="53"/>
      <c r="E619" s="53"/>
    </row>
    <row r="620" ht="15.75" customHeight="1">
      <c r="A620" s="53"/>
      <c r="B620" s="53"/>
      <c r="C620" s="53"/>
      <c r="D620" s="53"/>
      <c r="E620" s="53"/>
    </row>
    <row r="621" ht="15.75" customHeight="1">
      <c r="A621" s="53"/>
      <c r="B621" s="53"/>
      <c r="C621" s="53"/>
      <c r="D621" s="53"/>
      <c r="E621" s="53"/>
    </row>
    <row r="622" ht="15.75" customHeight="1">
      <c r="A622" s="53"/>
      <c r="B622" s="53"/>
      <c r="C622" s="53"/>
      <c r="D622" s="53"/>
      <c r="E622" s="53"/>
    </row>
    <row r="623" ht="15.75" customHeight="1">
      <c r="A623" s="53"/>
      <c r="B623" s="53"/>
      <c r="C623" s="53"/>
      <c r="D623" s="53"/>
      <c r="E623" s="53"/>
    </row>
    <row r="624" ht="15.75" customHeight="1">
      <c r="A624" s="53"/>
      <c r="B624" s="53"/>
      <c r="C624" s="53"/>
      <c r="D624" s="53"/>
      <c r="E624" s="53"/>
    </row>
    <row r="625" ht="15.75" customHeight="1">
      <c r="A625" s="53"/>
      <c r="B625" s="53"/>
      <c r="C625" s="53"/>
      <c r="D625" s="53"/>
      <c r="E625" s="53"/>
    </row>
    <row r="626" ht="15.75" customHeight="1">
      <c r="A626" s="53"/>
      <c r="B626" s="53"/>
      <c r="C626" s="53"/>
      <c r="D626" s="53"/>
      <c r="E626" s="53"/>
    </row>
    <row r="627" ht="15.75" customHeight="1">
      <c r="A627" s="53"/>
      <c r="B627" s="53"/>
      <c r="C627" s="53"/>
      <c r="D627" s="53"/>
      <c r="E627" s="53"/>
    </row>
    <row r="628" ht="15.75" customHeight="1">
      <c r="A628" s="53"/>
      <c r="B628" s="53"/>
      <c r="C628" s="53"/>
      <c r="D628" s="53"/>
      <c r="E628" s="53"/>
    </row>
    <row r="629" ht="15.75" customHeight="1">
      <c r="A629" s="53"/>
      <c r="B629" s="53"/>
      <c r="C629" s="53"/>
      <c r="D629" s="53"/>
      <c r="E629" s="53"/>
    </row>
    <row r="630" ht="15.75" customHeight="1">
      <c r="A630" s="53"/>
      <c r="B630" s="53"/>
      <c r="C630" s="53"/>
      <c r="D630" s="53"/>
      <c r="E630" s="53"/>
    </row>
    <row r="631" ht="15.75" customHeight="1">
      <c r="A631" s="53"/>
      <c r="B631" s="53"/>
      <c r="C631" s="53"/>
      <c r="D631" s="53"/>
      <c r="E631" s="53"/>
    </row>
    <row r="632" ht="15.75" customHeight="1">
      <c r="A632" s="53"/>
      <c r="B632" s="53"/>
      <c r="C632" s="53"/>
      <c r="D632" s="53"/>
      <c r="E632" s="53"/>
    </row>
    <row r="633" ht="15.75" customHeight="1">
      <c r="A633" s="53"/>
      <c r="B633" s="53"/>
      <c r="C633" s="53"/>
      <c r="D633" s="53"/>
      <c r="E633" s="53"/>
    </row>
    <row r="634" ht="15.75" customHeight="1">
      <c r="A634" s="53"/>
      <c r="B634" s="53"/>
      <c r="C634" s="53"/>
      <c r="D634" s="53"/>
      <c r="E634" s="53"/>
    </row>
    <row r="635" ht="15.75" customHeight="1">
      <c r="A635" s="53"/>
      <c r="B635" s="53"/>
      <c r="C635" s="53"/>
      <c r="D635" s="53"/>
      <c r="E635" s="53"/>
    </row>
    <row r="636" ht="15.75" customHeight="1">
      <c r="A636" s="53"/>
      <c r="B636" s="53"/>
      <c r="C636" s="53"/>
      <c r="D636" s="53"/>
      <c r="E636" s="53"/>
    </row>
    <row r="637" ht="15.75" customHeight="1">
      <c r="A637" s="53"/>
      <c r="B637" s="53"/>
      <c r="C637" s="53"/>
      <c r="D637" s="53"/>
      <c r="E637" s="53"/>
    </row>
    <row r="638" ht="15.75" customHeight="1">
      <c r="A638" s="53"/>
      <c r="B638" s="53"/>
      <c r="C638" s="53"/>
      <c r="D638" s="53"/>
      <c r="E638" s="53"/>
    </row>
    <row r="639" ht="15.75" customHeight="1">
      <c r="A639" s="53"/>
      <c r="B639" s="53"/>
      <c r="C639" s="53"/>
      <c r="D639" s="53"/>
      <c r="E639" s="53"/>
    </row>
    <row r="640" ht="15.75" customHeight="1">
      <c r="A640" s="53"/>
      <c r="B640" s="53"/>
      <c r="C640" s="53"/>
      <c r="D640" s="53"/>
      <c r="E640" s="53"/>
    </row>
    <row r="641" ht="15.75" customHeight="1">
      <c r="A641" s="53"/>
      <c r="B641" s="53"/>
      <c r="C641" s="53"/>
      <c r="D641" s="53"/>
      <c r="E641" s="53"/>
    </row>
    <row r="642" ht="15.75" customHeight="1">
      <c r="A642" s="53"/>
      <c r="B642" s="53"/>
      <c r="C642" s="53"/>
      <c r="D642" s="53"/>
      <c r="E642" s="53"/>
    </row>
    <row r="643" ht="15.75" customHeight="1">
      <c r="A643" s="53"/>
      <c r="B643" s="53"/>
      <c r="C643" s="53"/>
      <c r="D643" s="53"/>
      <c r="E643" s="53"/>
    </row>
    <row r="644" ht="15.75" customHeight="1">
      <c r="A644" s="53"/>
      <c r="B644" s="53"/>
      <c r="C644" s="53"/>
      <c r="D644" s="53"/>
      <c r="E644" s="53"/>
    </row>
    <row r="645" ht="15.75" customHeight="1">
      <c r="A645" s="53"/>
      <c r="B645" s="53"/>
      <c r="C645" s="53"/>
      <c r="D645" s="53"/>
      <c r="E645" s="53"/>
    </row>
    <row r="646" ht="15.75" customHeight="1">
      <c r="A646" s="53"/>
      <c r="B646" s="53"/>
      <c r="C646" s="53"/>
      <c r="D646" s="53"/>
      <c r="E646" s="53"/>
    </row>
    <row r="647" ht="15.75" customHeight="1">
      <c r="A647" s="53"/>
      <c r="B647" s="53"/>
      <c r="C647" s="53"/>
      <c r="D647" s="53"/>
      <c r="E647" s="53"/>
    </row>
    <row r="648" ht="15.75" customHeight="1">
      <c r="A648" s="53"/>
      <c r="B648" s="53"/>
      <c r="C648" s="53"/>
      <c r="D648" s="53"/>
      <c r="E648" s="53"/>
    </row>
    <row r="649" ht="15.75" customHeight="1">
      <c r="A649" s="53"/>
      <c r="B649" s="53"/>
      <c r="C649" s="53"/>
      <c r="D649" s="53"/>
      <c r="E649" s="53"/>
    </row>
    <row r="650" ht="15.75" customHeight="1">
      <c r="A650" s="53"/>
      <c r="B650" s="53"/>
      <c r="C650" s="53"/>
      <c r="D650" s="53"/>
      <c r="E650" s="53"/>
    </row>
    <row r="651" ht="15.75" customHeight="1">
      <c r="A651" s="53"/>
      <c r="B651" s="53"/>
      <c r="C651" s="53"/>
      <c r="D651" s="53"/>
      <c r="E651" s="53"/>
    </row>
    <row r="652" ht="15.75" customHeight="1">
      <c r="A652" s="53"/>
      <c r="B652" s="53"/>
      <c r="C652" s="53"/>
      <c r="D652" s="53"/>
      <c r="E652" s="53"/>
    </row>
    <row r="653" ht="15.75" customHeight="1">
      <c r="A653" s="53"/>
      <c r="B653" s="53"/>
      <c r="C653" s="53"/>
      <c r="D653" s="53"/>
      <c r="E653" s="53"/>
    </row>
    <row r="654" ht="15.75" customHeight="1">
      <c r="A654" s="53"/>
      <c r="B654" s="53"/>
      <c r="C654" s="53"/>
      <c r="D654" s="53"/>
      <c r="E654" s="53"/>
    </row>
    <row r="655" ht="15.75" customHeight="1">
      <c r="A655" s="53"/>
      <c r="B655" s="53"/>
      <c r="C655" s="53"/>
      <c r="D655" s="53"/>
      <c r="E655" s="53"/>
    </row>
    <row r="656" ht="15.75" customHeight="1">
      <c r="A656" s="53"/>
      <c r="B656" s="53"/>
      <c r="C656" s="53"/>
      <c r="D656" s="53"/>
      <c r="E656" s="53"/>
    </row>
    <row r="657" ht="15.75" customHeight="1">
      <c r="A657" s="53"/>
      <c r="B657" s="53"/>
      <c r="C657" s="53"/>
      <c r="D657" s="53"/>
      <c r="E657" s="53"/>
    </row>
    <row r="658" ht="15.75" customHeight="1">
      <c r="A658" s="53"/>
      <c r="B658" s="53"/>
      <c r="C658" s="53"/>
      <c r="D658" s="53"/>
      <c r="E658" s="53"/>
    </row>
    <row r="659" ht="15.75" customHeight="1">
      <c r="A659" s="53"/>
      <c r="B659" s="53"/>
      <c r="C659" s="53"/>
      <c r="D659" s="53"/>
      <c r="E659" s="53"/>
    </row>
    <row r="660" ht="15.75" customHeight="1">
      <c r="A660" s="53"/>
      <c r="B660" s="53"/>
      <c r="C660" s="53"/>
      <c r="D660" s="53"/>
      <c r="E660" s="53"/>
    </row>
    <row r="661" ht="15.75" customHeight="1">
      <c r="A661" s="53"/>
      <c r="B661" s="53"/>
      <c r="C661" s="53"/>
      <c r="D661" s="53"/>
      <c r="E661" s="53"/>
    </row>
    <row r="662" ht="15.75" customHeight="1">
      <c r="A662" s="53"/>
      <c r="B662" s="53"/>
      <c r="C662" s="53"/>
      <c r="D662" s="53"/>
      <c r="E662" s="53"/>
    </row>
    <row r="663" ht="15.75" customHeight="1">
      <c r="A663" s="53"/>
      <c r="B663" s="53"/>
      <c r="C663" s="53"/>
      <c r="D663" s="53"/>
      <c r="E663" s="53"/>
    </row>
    <row r="664" ht="15.75" customHeight="1">
      <c r="A664" s="53"/>
      <c r="B664" s="53"/>
      <c r="C664" s="53"/>
      <c r="D664" s="53"/>
      <c r="E664" s="53"/>
    </row>
    <row r="665" ht="15.75" customHeight="1">
      <c r="A665" s="53"/>
      <c r="B665" s="53"/>
      <c r="C665" s="53"/>
      <c r="D665" s="53"/>
      <c r="E665" s="53"/>
    </row>
    <row r="666" ht="15.75" customHeight="1">
      <c r="A666" s="53"/>
      <c r="B666" s="53"/>
      <c r="C666" s="53"/>
      <c r="D666" s="53"/>
      <c r="E666" s="53"/>
    </row>
    <row r="667" ht="15.75" customHeight="1">
      <c r="A667" s="53"/>
      <c r="B667" s="53"/>
      <c r="C667" s="53"/>
      <c r="D667" s="53"/>
      <c r="E667" s="53"/>
    </row>
    <row r="668" ht="15.75" customHeight="1">
      <c r="A668" s="53"/>
      <c r="B668" s="53"/>
      <c r="C668" s="53"/>
      <c r="D668" s="53"/>
      <c r="E668" s="53"/>
    </row>
    <row r="669" ht="15.75" customHeight="1">
      <c r="A669" s="53"/>
      <c r="B669" s="53"/>
      <c r="C669" s="53"/>
      <c r="D669" s="53"/>
      <c r="E669" s="53"/>
    </row>
    <row r="670" ht="15.75" customHeight="1">
      <c r="A670" s="53"/>
      <c r="B670" s="53"/>
      <c r="C670" s="53"/>
      <c r="D670" s="53"/>
      <c r="E670" s="53"/>
    </row>
    <row r="671" ht="15.75" customHeight="1">
      <c r="A671" s="53"/>
      <c r="B671" s="53"/>
      <c r="C671" s="53"/>
      <c r="D671" s="53"/>
      <c r="E671" s="53"/>
    </row>
    <row r="672" ht="15.75" customHeight="1">
      <c r="A672" s="53"/>
      <c r="B672" s="53"/>
      <c r="C672" s="53"/>
      <c r="D672" s="53"/>
      <c r="E672" s="53"/>
    </row>
    <row r="673" ht="15.75" customHeight="1">
      <c r="A673" s="53"/>
      <c r="B673" s="53"/>
      <c r="C673" s="53"/>
      <c r="D673" s="53"/>
      <c r="E673" s="53"/>
    </row>
    <row r="674" ht="15.75" customHeight="1">
      <c r="A674" s="53"/>
      <c r="B674" s="53"/>
      <c r="C674" s="53"/>
      <c r="D674" s="53"/>
      <c r="E674" s="53"/>
    </row>
    <row r="675" ht="15.75" customHeight="1">
      <c r="A675" s="53"/>
      <c r="B675" s="53"/>
      <c r="C675" s="53"/>
      <c r="D675" s="53"/>
      <c r="E675" s="53"/>
    </row>
    <row r="676" ht="15.75" customHeight="1">
      <c r="A676" s="53"/>
      <c r="B676" s="53"/>
      <c r="C676" s="53"/>
      <c r="D676" s="53"/>
      <c r="E676" s="53"/>
    </row>
    <row r="677" ht="15.75" customHeight="1">
      <c r="A677" s="53"/>
      <c r="B677" s="53"/>
      <c r="C677" s="53"/>
      <c r="D677" s="53"/>
      <c r="E677" s="53"/>
    </row>
    <row r="678" ht="15.75" customHeight="1">
      <c r="A678" s="53"/>
      <c r="B678" s="53"/>
      <c r="C678" s="53"/>
      <c r="D678" s="53"/>
      <c r="E678" s="53"/>
    </row>
    <row r="679" ht="15.75" customHeight="1">
      <c r="A679" s="53"/>
      <c r="B679" s="53"/>
      <c r="C679" s="53"/>
      <c r="D679" s="53"/>
      <c r="E679" s="53"/>
    </row>
    <row r="680" ht="15.75" customHeight="1">
      <c r="A680" s="53"/>
      <c r="B680" s="53"/>
      <c r="C680" s="53"/>
      <c r="D680" s="53"/>
      <c r="E680" s="53"/>
    </row>
    <row r="681" ht="15.75" customHeight="1">
      <c r="A681" s="53"/>
      <c r="B681" s="53"/>
      <c r="C681" s="53"/>
      <c r="D681" s="53"/>
      <c r="E681" s="53"/>
    </row>
    <row r="682" ht="15.75" customHeight="1">
      <c r="A682" s="53"/>
      <c r="B682" s="53"/>
      <c r="C682" s="53"/>
      <c r="D682" s="53"/>
      <c r="E682" s="53"/>
    </row>
    <row r="683" ht="15.75" customHeight="1">
      <c r="A683" s="53"/>
      <c r="B683" s="53"/>
      <c r="C683" s="53"/>
      <c r="D683" s="53"/>
      <c r="E683" s="53"/>
    </row>
    <row r="684" ht="15.75" customHeight="1">
      <c r="A684" s="53"/>
      <c r="B684" s="53"/>
      <c r="C684" s="53"/>
      <c r="D684" s="53"/>
      <c r="E684" s="53"/>
    </row>
    <row r="685" ht="15.75" customHeight="1">
      <c r="A685" s="53"/>
      <c r="B685" s="53"/>
      <c r="C685" s="53"/>
      <c r="D685" s="53"/>
      <c r="E685" s="53"/>
    </row>
    <row r="686" ht="15.75" customHeight="1">
      <c r="A686" s="53"/>
      <c r="B686" s="53"/>
      <c r="C686" s="53"/>
      <c r="D686" s="53"/>
      <c r="E686" s="53"/>
    </row>
    <row r="687" ht="15.75" customHeight="1">
      <c r="A687" s="53"/>
      <c r="B687" s="53"/>
      <c r="C687" s="53"/>
      <c r="D687" s="53"/>
      <c r="E687" s="53"/>
    </row>
    <row r="688" ht="15.75" customHeight="1">
      <c r="A688" s="53"/>
      <c r="B688" s="53"/>
      <c r="C688" s="53"/>
      <c r="D688" s="53"/>
      <c r="E688" s="53"/>
    </row>
    <row r="689" ht="15.75" customHeight="1">
      <c r="A689" s="53"/>
      <c r="B689" s="53"/>
      <c r="C689" s="53"/>
      <c r="D689" s="53"/>
      <c r="E689" s="53"/>
    </row>
    <row r="690" ht="15.75" customHeight="1">
      <c r="A690" s="53"/>
      <c r="B690" s="53"/>
      <c r="C690" s="53"/>
      <c r="D690" s="53"/>
      <c r="E690" s="53"/>
    </row>
    <row r="691" ht="15.75" customHeight="1">
      <c r="A691" s="53"/>
      <c r="B691" s="53"/>
      <c r="C691" s="53"/>
      <c r="D691" s="53"/>
      <c r="E691" s="53"/>
    </row>
    <row r="692" ht="15.75" customHeight="1">
      <c r="A692" s="53"/>
      <c r="B692" s="53"/>
      <c r="C692" s="53"/>
      <c r="D692" s="53"/>
      <c r="E692" s="53"/>
    </row>
    <row r="693" ht="15.75" customHeight="1">
      <c r="A693" s="53"/>
      <c r="B693" s="53"/>
      <c r="C693" s="53"/>
      <c r="D693" s="53"/>
      <c r="E693" s="53"/>
    </row>
    <row r="694" ht="15.75" customHeight="1">
      <c r="A694" s="53"/>
      <c r="B694" s="53"/>
      <c r="C694" s="53"/>
      <c r="D694" s="53"/>
      <c r="E694" s="53"/>
    </row>
    <row r="695" ht="15.75" customHeight="1">
      <c r="A695" s="53"/>
      <c r="B695" s="53"/>
      <c r="C695" s="53"/>
      <c r="D695" s="53"/>
      <c r="E695" s="53"/>
    </row>
    <row r="696" ht="15.75" customHeight="1">
      <c r="A696" s="53"/>
      <c r="B696" s="53"/>
      <c r="C696" s="53"/>
      <c r="D696" s="53"/>
      <c r="E696" s="53"/>
    </row>
    <row r="697" ht="15.75" customHeight="1">
      <c r="A697" s="53"/>
      <c r="B697" s="53"/>
      <c r="C697" s="53"/>
      <c r="D697" s="53"/>
      <c r="E697" s="53"/>
    </row>
    <row r="698" ht="15.75" customHeight="1">
      <c r="A698" s="53"/>
      <c r="B698" s="53"/>
      <c r="C698" s="53"/>
      <c r="D698" s="53"/>
      <c r="E698" s="53"/>
    </row>
    <row r="699" ht="15.75" customHeight="1">
      <c r="A699" s="53"/>
      <c r="B699" s="53"/>
      <c r="C699" s="53"/>
      <c r="D699" s="53"/>
      <c r="E699" s="53"/>
    </row>
    <row r="700" ht="15.75" customHeight="1">
      <c r="A700" s="53"/>
      <c r="B700" s="53"/>
      <c r="C700" s="53"/>
      <c r="D700" s="53"/>
      <c r="E700" s="53"/>
    </row>
    <row r="701" ht="15.75" customHeight="1">
      <c r="A701" s="53"/>
      <c r="B701" s="53"/>
      <c r="C701" s="53"/>
      <c r="D701" s="53"/>
      <c r="E701" s="53"/>
    </row>
    <row r="702" ht="15.75" customHeight="1">
      <c r="A702" s="53"/>
      <c r="B702" s="53"/>
      <c r="C702" s="53"/>
      <c r="D702" s="53"/>
      <c r="E702" s="53"/>
    </row>
    <row r="703" ht="15.75" customHeight="1">
      <c r="A703" s="53"/>
      <c r="B703" s="53"/>
      <c r="C703" s="53"/>
      <c r="D703" s="53"/>
      <c r="E703" s="53"/>
    </row>
    <row r="704" ht="15.75" customHeight="1">
      <c r="A704" s="53"/>
      <c r="B704" s="53"/>
      <c r="C704" s="53"/>
      <c r="D704" s="53"/>
      <c r="E704" s="53"/>
    </row>
    <row r="705" ht="15.75" customHeight="1">
      <c r="A705" s="53"/>
      <c r="B705" s="53"/>
      <c r="C705" s="53"/>
      <c r="D705" s="53"/>
      <c r="E705" s="53"/>
    </row>
    <row r="706" ht="15.75" customHeight="1">
      <c r="A706" s="53"/>
      <c r="B706" s="53"/>
      <c r="C706" s="53"/>
      <c r="D706" s="53"/>
      <c r="E706" s="53"/>
    </row>
    <row r="707" ht="15.75" customHeight="1">
      <c r="A707" s="53"/>
      <c r="B707" s="53"/>
      <c r="C707" s="53"/>
      <c r="D707" s="53"/>
      <c r="E707" s="53"/>
    </row>
    <row r="708" ht="15.75" customHeight="1">
      <c r="A708" s="53"/>
      <c r="B708" s="53"/>
      <c r="C708" s="53"/>
      <c r="D708" s="53"/>
      <c r="E708" s="53"/>
    </row>
    <row r="709" ht="15.75" customHeight="1">
      <c r="A709" s="53"/>
      <c r="B709" s="53"/>
      <c r="C709" s="53"/>
      <c r="D709" s="53"/>
      <c r="E709" s="53"/>
    </row>
    <row r="710" ht="15.75" customHeight="1">
      <c r="A710" s="53"/>
      <c r="B710" s="53"/>
      <c r="C710" s="53"/>
      <c r="D710" s="53"/>
      <c r="E710" s="53"/>
    </row>
    <row r="711" ht="15.75" customHeight="1">
      <c r="A711" s="53"/>
      <c r="B711" s="53"/>
      <c r="C711" s="53"/>
      <c r="D711" s="53"/>
      <c r="E711" s="53"/>
    </row>
    <row r="712" ht="15.75" customHeight="1">
      <c r="A712" s="53"/>
      <c r="B712" s="53"/>
      <c r="C712" s="53"/>
      <c r="D712" s="53"/>
      <c r="E712" s="53"/>
    </row>
    <row r="713" ht="15.75" customHeight="1">
      <c r="A713" s="53"/>
      <c r="B713" s="53"/>
      <c r="C713" s="53"/>
      <c r="D713" s="53"/>
      <c r="E713" s="53"/>
    </row>
    <row r="714" ht="15.75" customHeight="1">
      <c r="A714" s="53"/>
      <c r="B714" s="53"/>
      <c r="C714" s="53"/>
      <c r="D714" s="53"/>
      <c r="E714" s="53"/>
    </row>
    <row r="715" ht="15.75" customHeight="1">
      <c r="A715" s="53"/>
      <c r="B715" s="53"/>
      <c r="C715" s="53"/>
      <c r="D715" s="53"/>
      <c r="E715" s="53"/>
    </row>
    <row r="716" ht="15.75" customHeight="1">
      <c r="A716" s="53"/>
      <c r="B716" s="53"/>
      <c r="C716" s="53"/>
      <c r="D716" s="53"/>
      <c r="E716" s="53"/>
    </row>
    <row r="717" ht="15.75" customHeight="1">
      <c r="A717" s="53"/>
      <c r="B717" s="53"/>
      <c r="C717" s="53"/>
      <c r="D717" s="53"/>
      <c r="E717" s="53"/>
    </row>
    <row r="718" ht="15.75" customHeight="1">
      <c r="A718" s="53"/>
      <c r="B718" s="53"/>
      <c r="C718" s="53"/>
      <c r="D718" s="53"/>
      <c r="E718" s="53"/>
    </row>
    <row r="719" ht="15.75" customHeight="1">
      <c r="A719" s="53"/>
      <c r="B719" s="53"/>
      <c r="C719" s="53"/>
      <c r="D719" s="53"/>
      <c r="E719" s="53"/>
    </row>
    <row r="720" ht="15.75" customHeight="1">
      <c r="A720" s="53"/>
      <c r="B720" s="53"/>
      <c r="C720" s="53"/>
      <c r="D720" s="53"/>
      <c r="E720" s="53"/>
    </row>
    <row r="721" ht="15.75" customHeight="1">
      <c r="A721" s="53"/>
      <c r="B721" s="53"/>
      <c r="C721" s="53"/>
      <c r="D721" s="53"/>
      <c r="E721" s="53"/>
    </row>
    <row r="722" ht="15.75" customHeight="1">
      <c r="A722" s="53"/>
      <c r="B722" s="53"/>
      <c r="C722" s="53"/>
      <c r="D722" s="53"/>
      <c r="E722" s="53"/>
    </row>
    <row r="723" ht="15.75" customHeight="1">
      <c r="A723" s="53"/>
      <c r="B723" s="53"/>
      <c r="C723" s="53"/>
      <c r="D723" s="53"/>
      <c r="E723" s="53"/>
    </row>
    <row r="724" ht="15.75" customHeight="1">
      <c r="A724" s="53"/>
      <c r="B724" s="53"/>
      <c r="C724" s="53"/>
      <c r="D724" s="53"/>
      <c r="E724" s="53"/>
    </row>
    <row r="725" ht="15.75" customHeight="1">
      <c r="A725" s="53"/>
      <c r="B725" s="53"/>
      <c r="C725" s="53"/>
      <c r="D725" s="53"/>
      <c r="E725" s="53"/>
    </row>
    <row r="726" ht="15.75" customHeight="1">
      <c r="A726" s="53"/>
      <c r="B726" s="53"/>
      <c r="C726" s="53"/>
      <c r="D726" s="53"/>
      <c r="E726" s="53"/>
    </row>
    <row r="727" ht="15.75" customHeight="1">
      <c r="A727" s="53"/>
      <c r="B727" s="53"/>
      <c r="C727" s="53"/>
      <c r="D727" s="53"/>
      <c r="E727" s="53"/>
    </row>
    <row r="728" ht="15.75" customHeight="1">
      <c r="A728" s="53"/>
      <c r="B728" s="53"/>
      <c r="C728" s="53"/>
      <c r="D728" s="53"/>
      <c r="E728" s="53"/>
    </row>
    <row r="729" ht="15.75" customHeight="1">
      <c r="A729" s="53"/>
      <c r="B729" s="53"/>
      <c r="C729" s="53"/>
      <c r="D729" s="53"/>
      <c r="E729" s="53"/>
    </row>
    <row r="730" ht="15.75" customHeight="1">
      <c r="A730" s="53"/>
      <c r="B730" s="53"/>
      <c r="C730" s="53"/>
      <c r="D730" s="53"/>
      <c r="E730" s="53"/>
    </row>
    <row r="731" ht="15.75" customHeight="1">
      <c r="A731" s="53"/>
      <c r="B731" s="53"/>
      <c r="C731" s="53"/>
      <c r="D731" s="53"/>
      <c r="E731" s="53"/>
    </row>
    <row r="732" ht="15.75" customHeight="1">
      <c r="A732" s="53"/>
      <c r="B732" s="53"/>
      <c r="C732" s="53"/>
      <c r="D732" s="53"/>
      <c r="E732" s="53"/>
    </row>
    <row r="733" ht="15.75" customHeight="1">
      <c r="A733" s="53"/>
      <c r="B733" s="53"/>
      <c r="C733" s="53"/>
      <c r="D733" s="53"/>
      <c r="E733" s="53"/>
    </row>
    <row r="734" ht="15.75" customHeight="1">
      <c r="A734" s="53"/>
      <c r="B734" s="53"/>
      <c r="C734" s="53"/>
      <c r="D734" s="53"/>
      <c r="E734" s="53"/>
    </row>
    <row r="735" ht="15.75" customHeight="1">
      <c r="A735" s="53"/>
      <c r="B735" s="53"/>
      <c r="C735" s="53"/>
      <c r="D735" s="53"/>
      <c r="E735" s="53"/>
    </row>
    <row r="736" ht="15.75" customHeight="1">
      <c r="A736" s="53"/>
      <c r="B736" s="53"/>
      <c r="C736" s="53"/>
      <c r="D736" s="53"/>
      <c r="E736" s="53"/>
    </row>
    <row r="737" ht="15.75" customHeight="1">
      <c r="A737" s="53"/>
      <c r="B737" s="53"/>
      <c r="C737" s="53"/>
      <c r="D737" s="53"/>
      <c r="E737" s="53"/>
    </row>
    <row r="738" ht="15.75" customHeight="1">
      <c r="A738" s="53"/>
      <c r="B738" s="53"/>
      <c r="C738" s="53"/>
      <c r="D738" s="53"/>
      <c r="E738" s="53"/>
    </row>
    <row r="739" ht="15.75" customHeight="1">
      <c r="A739" s="53"/>
      <c r="B739" s="53"/>
      <c r="C739" s="53"/>
      <c r="D739" s="53"/>
      <c r="E739" s="53"/>
    </row>
    <row r="740" ht="15.75" customHeight="1">
      <c r="A740" s="53"/>
      <c r="B740" s="53"/>
      <c r="C740" s="53"/>
      <c r="D740" s="53"/>
      <c r="E740" s="53"/>
    </row>
    <row r="741" ht="15.75" customHeight="1">
      <c r="A741" s="53"/>
      <c r="B741" s="53"/>
      <c r="C741" s="53"/>
      <c r="D741" s="53"/>
      <c r="E741" s="53"/>
    </row>
    <row r="742" ht="15.75" customHeight="1">
      <c r="A742" s="53"/>
      <c r="B742" s="53"/>
      <c r="C742" s="53"/>
      <c r="D742" s="53"/>
      <c r="E742" s="53"/>
    </row>
    <row r="743" ht="15.75" customHeight="1">
      <c r="A743" s="53"/>
      <c r="B743" s="53"/>
      <c r="C743" s="53"/>
      <c r="D743" s="53"/>
      <c r="E743" s="53"/>
    </row>
    <row r="744" ht="15.75" customHeight="1">
      <c r="A744" s="53"/>
      <c r="B744" s="53"/>
      <c r="C744" s="53"/>
      <c r="D744" s="53"/>
      <c r="E744" s="53"/>
    </row>
    <row r="745" ht="15.75" customHeight="1">
      <c r="A745" s="53"/>
      <c r="B745" s="53"/>
      <c r="C745" s="53"/>
      <c r="D745" s="53"/>
      <c r="E745" s="53"/>
    </row>
    <row r="746" ht="15.75" customHeight="1">
      <c r="A746" s="53"/>
      <c r="B746" s="53"/>
      <c r="C746" s="53"/>
      <c r="D746" s="53"/>
      <c r="E746" s="53"/>
    </row>
    <row r="747" ht="15.75" customHeight="1">
      <c r="A747" s="53"/>
      <c r="B747" s="53"/>
      <c r="C747" s="53"/>
      <c r="D747" s="53"/>
      <c r="E747" s="53"/>
    </row>
    <row r="748" ht="15.75" customHeight="1">
      <c r="A748" s="53"/>
      <c r="B748" s="53"/>
      <c r="C748" s="53"/>
      <c r="D748" s="53"/>
      <c r="E748" s="53"/>
    </row>
    <row r="749" ht="15.75" customHeight="1">
      <c r="A749" s="53"/>
      <c r="B749" s="53"/>
      <c r="C749" s="53"/>
      <c r="D749" s="53"/>
      <c r="E749" s="53"/>
    </row>
    <row r="750" ht="15.75" customHeight="1">
      <c r="A750" s="53"/>
      <c r="B750" s="53"/>
      <c r="C750" s="53"/>
      <c r="D750" s="53"/>
      <c r="E750" s="53"/>
    </row>
    <row r="751" ht="15.75" customHeight="1">
      <c r="A751" s="53"/>
      <c r="B751" s="53"/>
      <c r="C751" s="53"/>
      <c r="D751" s="53"/>
      <c r="E751" s="53"/>
    </row>
    <row r="752" ht="15.75" customHeight="1">
      <c r="A752" s="53"/>
      <c r="B752" s="53"/>
      <c r="C752" s="53"/>
      <c r="D752" s="53"/>
      <c r="E752" s="53"/>
    </row>
    <row r="753" ht="15.75" customHeight="1">
      <c r="A753" s="53"/>
      <c r="B753" s="53"/>
      <c r="C753" s="53"/>
      <c r="D753" s="53"/>
      <c r="E753" s="53"/>
    </row>
    <row r="754" ht="15.75" customHeight="1">
      <c r="A754" s="53"/>
      <c r="B754" s="53"/>
      <c r="C754" s="53"/>
      <c r="D754" s="53"/>
      <c r="E754" s="53"/>
    </row>
    <row r="755" ht="15.75" customHeight="1">
      <c r="A755" s="53"/>
      <c r="B755" s="53"/>
      <c r="C755" s="53"/>
      <c r="D755" s="53"/>
      <c r="E755" s="53"/>
    </row>
    <row r="756" ht="15.75" customHeight="1">
      <c r="A756" s="53"/>
      <c r="B756" s="53"/>
      <c r="C756" s="53"/>
      <c r="D756" s="53"/>
      <c r="E756" s="53"/>
    </row>
    <row r="757" ht="15.75" customHeight="1">
      <c r="A757" s="53"/>
      <c r="B757" s="53"/>
      <c r="C757" s="53"/>
      <c r="D757" s="53"/>
      <c r="E757" s="53"/>
    </row>
    <row r="758" ht="15.75" customHeight="1">
      <c r="A758" s="53"/>
      <c r="B758" s="53"/>
      <c r="C758" s="53"/>
      <c r="D758" s="53"/>
      <c r="E758" s="53"/>
    </row>
    <row r="759" ht="15.75" customHeight="1">
      <c r="A759" s="53"/>
      <c r="B759" s="53"/>
      <c r="C759" s="53"/>
      <c r="D759" s="53"/>
      <c r="E759" s="53"/>
    </row>
    <row r="760" ht="15.75" customHeight="1">
      <c r="A760" s="53"/>
      <c r="B760" s="53"/>
      <c r="C760" s="53"/>
      <c r="D760" s="53"/>
      <c r="E760" s="53"/>
    </row>
    <row r="761" ht="15.75" customHeight="1">
      <c r="A761" s="53"/>
      <c r="B761" s="53"/>
      <c r="C761" s="53"/>
      <c r="D761" s="53"/>
      <c r="E761" s="53"/>
    </row>
    <row r="762" ht="15.75" customHeight="1">
      <c r="A762" s="53"/>
      <c r="B762" s="53"/>
      <c r="C762" s="53"/>
      <c r="D762" s="53"/>
      <c r="E762" s="53"/>
    </row>
    <row r="763" ht="15.75" customHeight="1">
      <c r="A763" s="53"/>
      <c r="B763" s="53"/>
      <c r="C763" s="53"/>
      <c r="D763" s="53"/>
      <c r="E763" s="53"/>
    </row>
    <row r="764" ht="15.75" customHeight="1">
      <c r="A764" s="53"/>
      <c r="B764" s="53"/>
      <c r="C764" s="53"/>
      <c r="D764" s="53"/>
      <c r="E764" s="53"/>
    </row>
    <row r="765" ht="15.75" customHeight="1">
      <c r="A765" s="53"/>
      <c r="B765" s="53"/>
      <c r="C765" s="53"/>
      <c r="D765" s="53"/>
      <c r="E765" s="53"/>
    </row>
    <row r="766" ht="15.75" customHeight="1">
      <c r="A766" s="53"/>
      <c r="B766" s="53"/>
      <c r="C766" s="53"/>
      <c r="D766" s="53"/>
      <c r="E766" s="53"/>
    </row>
    <row r="767" ht="15.75" customHeight="1">
      <c r="A767" s="53"/>
      <c r="B767" s="53"/>
      <c r="C767" s="53"/>
      <c r="D767" s="53"/>
      <c r="E767" s="53"/>
    </row>
    <row r="768" ht="15.75" customHeight="1">
      <c r="A768" s="53"/>
      <c r="B768" s="53"/>
      <c r="C768" s="53"/>
      <c r="D768" s="53"/>
      <c r="E768" s="53"/>
    </row>
    <row r="769" ht="15.75" customHeight="1">
      <c r="A769" s="53"/>
      <c r="B769" s="53"/>
      <c r="C769" s="53"/>
      <c r="D769" s="53"/>
      <c r="E769" s="53"/>
    </row>
    <row r="770" ht="15.75" customHeight="1">
      <c r="A770" s="53"/>
      <c r="B770" s="53"/>
      <c r="C770" s="53"/>
      <c r="D770" s="53"/>
      <c r="E770" s="53"/>
    </row>
    <row r="771" ht="15.75" customHeight="1">
      <c r="A771" s="53"/>
      <c r="B771" s="53"/>
      <c r="C771" s="53"/>
      <c r="D771" s="53"/>
      <c r="E771" s="53"/>
    </row>
    <row r="772" ht="15.75" customHeight="1">
      <c r="A772" s="53"/>
      <c r="B772" s="53"/>
      <c r="C772" s="53"/>
      <c r="D772" s="53"/>
      <c r="E772" s="53"/>
    </row>
    <row r="773" ht="15.75" customHeight="1">
      <c r="A773" s="53"/>
      <c r="B773" s="53"/>
      <c r="C773" s="53"/>
      <c r="D773" s="53"/>
      <c r="E773" s="53"/>
    </row>
    <row r="774" ht="15.75" customHeight="1">
      <c r="A774" s="53"/>
      <c r="B774" s="53"/>
      <c r="C774" s="53"/>
      <c r="D774" s="53"/>
      <c r="E774" s="53"/>
    </row>
    <row r="775" ht="15.75" customHeight="1">
      <c r="A775" s="53"/>
      <c r="B775" s="53"/>
      <c r="C775" s="53"/>
      <c r="D775" s="53"/>
      <c r="E775" s="53"/>
    </row>
    <row r="776" ht="15.75" customHeight="1">
      <c r="A776" s="53"/>
      <c r="B776" s="53"/>
      <c r="C776" s="53"/>
      <c r="D776" s="53"/>
      <c r="E776" s="53"/>
    </row>
    <row r="777" ht="15.75" customHeight="1">
      <c r="A777" s="53"/>
      <c r="B777" s="53"/>
      <c r="C777" s="53"/>
      <c r="D777" s="53"/>
      <c r="E777" s="53"/>
    </row>
    <row r="778" ht="15.75" customHeight="1">
      <c r="A778" s="53"/>
      <c r="B778" s="53"/>
      <c r="C778" s="53"/>
      <c r="D778" s="53"/>
      <c r="E778" s="53"/>
    </row>
    <row r="779" ht="15.75" customHeight="1">
      <c r="A779" s="53"/>
      <c r="B779" s="53"/>
      <c r="C779" s="53"/>
      <c r="D779" s="53"/>
      <c r="E779" s="53"/>
    </row>
    <row r="780" ht="15.75" customHeight="1">
      <c r="A780" s="53"/>
      <c r="B780" s="53"/>
      <c r="C780" s="53"/>
      <c r="D780" s="53"/>
      <c r="E780" s="53"/>
    </row>
    <row r="781" ht="15.75" customHeight="1">
      <c r="A781" s="53"/>
      <c r="B781" s="53"/>
      <c r="C781" s="53"/>
      <c r="D781" s="53"/>
      <c r="E781" s="53"/>
    </row>
    <row r="782" ht="15.75" customHeight="1">
      <c r="A782" s="53"/>
      <c r="B782" s="53"/>
      <c r="C782" s="53"/>
      <c r="D782" s="53"/>
      <c r="E782" s="53"/>
    </row>
    <row r="783" ht="15.75" customHeight="1">
      <c r="A783" s="53"/>
      <c r="B783" s="53"/>
      <c r="C783" s="53"/>
      <c r="D783" s="53"/>
      <c r="E783" s="53"/>
    </row>
    <row r="784" ht="15.75" customHeight="1">
      <c r="A784" s="53"/>
      <c r="B784" s="53"/>
      <c r="C784" s="53"/>
      <c r="D784" s="53"/>
      <c r="E784" s="53"/>
    </row>
    <row r="785" ht="15.75" customHeight="1">
      <c r="A785" s="53"/>
      <c r="B785" s="53"/>
      <c r="C785" s="53"/>
      <c r="D785" s="53"/>
      <c r="E785" s="53"/>
    </row>
    <row r="786" ht="15.75" customHeight="1">
      <c r="A786" s="53"/>
      <c r="B786" s="53"/>
      <c r="C786" s="53"/>
      <c r="D786" s="53"/>
      <c r="E786" s="53"/>
    </row>
    <row r="787" ht="15.75" customHeight="1">
      <c r="A787" s="53"/>
      <c r="B787" s="53"/>
      <c r="C787" s="53"/>
      <c r="D787" s="53"/>
      <c r="E787" s="53"/>
    </row>
    <row r="788" ht="15.75" customHeight="1">
      <c r="A788" s="53"/>
      <c r="B788" s="53"/>
      <c r="C788" s="53"/>
      <c r="D788" s="53"/>
      <c r="E788" s="53"/>
    </row>
    <row r="789" ht="15.75" customHeight="1">
      <c r="A789" s="53"/>
      <c r="B789" s="53"/>
      <c r="C789" s="53"/>
      <c r="D789" s="53"/>
      <c r="E789" s="53"/>
    </row>
    <row r="790" ht="15.75" customHeight="1">
      <c r="A790" s="53"/>
      <c r="B790" s="53"/>
      <c r="C790" s="53"/>
      <c r="D790" s="53"/>
      <c r="E790" s="53"/>
    </row>
    <row r="791" ht="15.75" customHeight="1">
      <c r="A791" s="53"/>
      <c r="B791" s="53"/>
      <c r="C791" s="53"/>
      <c r="D791" s="53"/>
      <c r="E791" s="53"/>
    </row>
    <row r="792" ht="15.75" customHeight="1">
      <c r="A792" s="53"/>
      <c r="B792" s="53"/>
      <c r="C792" s="53"/>
      <c r="D792" s="53"/>
      <c r="E792" s="53"/>
    </row>
    <row r="793" ht="15.75" customHeight="1">
      <c r="A793" s="53"/>
      <c r="B793" s="53"/>
      <c r="C793" s="53"/>
      <c r="D793" s="53"/>
      <c r="E793" s="53"/>
    </row>
    <row r="794" ht="15.75" customHeight="1">
      <c r="A794" s="53"/>
      <c r="B794" s="53"/>
      <c r="C794" s="53"/>
      <c r="D794" s="53"/>
      <c r="E794" s="53"/>
    </row>
    <row r="795" ht="15.75" customHeight="1">
      <c r="A795" s="53"/>
      <c r="B795" s="53"/>
      <c r="C795" s="53"/>
      <c r="D795" s="53"/>
      <c r="E795" s="53"/>
    </row>
    <row r="796" ht="15.75" customHeight="1">
      <c r="A796" s="53"/>
      <c r="B796" s="53"/>
      <c r="C796" s="53"/>
      <c r="D796" s="53"/>
      <c r="E796" s="53"/>
    </row>
    <row r="797" ht="15.75" customHeight="1">
      <c r="A797" s="53"/>
      <c r="B797" s="53"/>
      <c r="C797" s="53"/>
      <c r="D797" s="53"/>
      <c r="E797" s="53"/>
    </row>
    <row r="798" ht="15.75" customHeight="1">
      <c r="A798" s="53"/>
      <c r="B798" s="53"/>
      <c r="C798" s="53"/>
      <c r="D798" s="53"/>
      <c r="E798" s="53"/>
    </row>
    <row r="799" ht="15.75" customHeight="1">
      <c r="A799" s="53"/>
      <c r="B799" s="53"/>
      <c r="C799" s="53"/>
      <c r="D799" s="53"/>
      <c r="E799" s="53"/>
    </row>
    <row r="800" ht="15.75" customHeight="1">
      <c r="A800" s="53"/>
      <c r="B800" s="53"/>
      <c r="C800" s="53"/>
      <c r="D800" s="53"/>
      <c r="E800" s="53"/>
    </row>
    <row r="801" ht="15.75" customHeight="1">
      <c r="A801" s="53"/>
      <c r="B801" s="53"/>
      <c r="C801" s="53"/>
      <c r="D801" s="53"/>
      <c r="E801" s="53"/>
    </row>
    <row r="802" ht="15.75" customHeight="1">
      <c r="A802" s="53"/>
      <c r="B802" s="53"/>
      <c r="C802" s="53"/>
      <c r="D802" s="53"/>
      <c r="E802" s="53"/>
    </row>
    <row r="803" ht="15.75" customHeight="1">
      <c r="A803" s="53"/>
      <c r="B803" s="53"/>
      <c r="C803" s="53"/>
      <c r="D803" s="53"/>
      <c r="E803" s="53"/>
    </row>
    <row r="804" ht="15.75" customHeight="1">
      <c r="A804" s="53"/>
      <c r="B804" s="53"/>
      <c r="C804" s="53"/>
      <c r="D804" s="53"/>
      <c r="E804" s="53"/>
    </row>
    <row r="805" ht="15.75" customHeight="1">
      <c r="A805" s="53"/>
      <c r="B805" s="53"/>
      <c r="C805" s="53"/>
      <c r="D805" s="53"/>
      <c r="E805" s="53"/>
    </row>
    <row r="806" ht="15.75" customHeight="1">
      <c r="A806" s="53"/>
      <c r="B806" s="53"/>
      <c r="C806" s="53"/>
      <c r="D806" s="53"/>
      <c r="E806" s="53"/>
    </row>
    <row r="807" ht="15.75" customHeight="1">
      <c r="A807" s="53"/>
      <c r="B807" s="53"/>
      <c r="C807" s="53"/>
      <c r="D807" s="53"/>
      <c r="E807" s="53"/>
    </row>
    <row r="808" ht="15.75" customHeight="1">
      <c r="A808" s="53"/>
      <c r="B808" s="53"/>
      <c r="C808" s="53"/>
      <c r="D808" s="53"/>
      <c r="E808" s="53"/>
    </row>
    <row r="809" ht="15.75" customHeight="1">
      <c r="A809" s="53"/>
      <c r="B809" s="53"/>
      <c r="C809" s="53"/>
      <c r="D809" s="53"/>
      <c r="E809" s="53"/>
    </row>
    <row r="810" ht="15.75" customHeight="1">
      <c r="A810" s="53"/>
      <c r="B810" s="53"/>
      <c r="C810" s="53"/>
      <c r="D810" s="53"/>
      <c r="E810" s="53"/>
    </row>
    <row r="811" ht="15.75" customHeight="1">
      <c r="A811" s="53"/>
      <c r="B811" s="53"/>
      <c r="C811" s="53"/>
      <c r="D811" s="53"/>
      <c r="E811" s="53"/>
    </row>
    <row r="812" ht="15.75" customHeight="1">
      <c r="A812" s="53"/>
      <c r="B812" s="53"/>
      <c r="C812" s="53"/>
      <c r="D812" s="53"/>
      <c r="E812" s="53"/>
    </row>
    <row r="813" ht="15.75" customHeight="1">
      <c r="A813" s="53"/>
      <c r="B813" s="53"/>
      <c r="C813" s="53"/>
      <c r="D813" s="53"/>
      <c r="E813" s="53"/>
    </row>
    <row r="814" ht="15.75" customHeight="1">
      <c r="A814" s="53"/>
      <c r="B814" s="53"/>
      <c r="C814" s="53"/>
      <c r="D814" s="53"/>
      <c r="E814" s="53"/>
    </row>
    <row r="815" ht="15.75" customHeight="1">
      <c r="A815" s="53"/>
      <c r="B815" s="53"/>
      <c r="C815" s="53"/>
      <c r="D815" s="53"/>
      <c r="E815" s="53"/>
    </row>
    <row r="816" ht="15.75" customHeight="1">
      <c r="A816" s="53"/>
      <c r="B816" s="53"/>
      <c r="C816" s="53"/>
      <c r="D816" s="53"/>
      <c r="E816" s="53"/>
    </row>
    <row r="817" ht="15.75" customHeight="1">
      <c r="A817" s="53"/>
      <c r="B817" s="53"/>
      <c r="C817" s="53"/>
      <c r="D817" s="53"/>
      <c r="E817" s="53"/>
    </row>
    <row r="818" ht="15.75" customHeight="1">
      <c r="A818" s="53"/>
      <c r="B818" s="53"/>
      <c r="C818" s="53"/>
      <c r="D818" s="53"/>
      <c r="E818" s="53"/>
    </row>
    <row r="819" ht="15.75" customHeight="1">
      <c r="A819" s="53"/>
      <c r="B819" s="53"/>
      <c r="C819" s="53"/>
      <c r="D819" s="53"/>
      <c r="E819" s="53"/>
    </row>
    <row r="820" ht="15.75" customHeight="1">
      <c r="A820" s="53"/>
      <c r="B820" s="53"/>
      <c r="C820" s="53"/>
      <c r="D820" s="53"/>
      <c r="E820" s="53"/>
    </row>
    <row r="821" ht="15.75" customHeight="1">
      <c r="A821" s="53"/>
      <c r="B821" s="53"/>
      <c r="C821" s="53"/>
      <c r="D821" s="53"/>
      <c r="E821" s="53"/>
    </row>
    <row r="822" ht="15.75" customHeight="1">
      <c r="A822" s="53"/>
      <c r="B822" s="53"/>
      <c r="C822" s="53"/>
      <c r="D822" s="53"/>
      <c r="E822" s="53"/>
    </row>
    <row r="823" ht="15.75" customHeight="1">
      <c r="A823" s="53"/>
      <c r="B823" s="53"/>
      <c r="C823" s="53"/>
      <c r="D823" s="53"/>
      <c r="E823" s="53"/>
    </row>
    <row r="824" ht="15.75" customHeight="1">
      <c r="A824" s="53"/>
      <c r="B824" s="53"/>
      <c r="C824" s="53"/>
      <c r="D824" s="53"/>
      <c r="E824" s="53"/>
    </row>
    <row r="825" ht="15.75" customHeight="1">
      <c r="A825" s="53"/>
      <c r="B825" s="53"/>
      <c r="C825" s="53"/>
      <c r="D825" s="53"/>
      <c r="E825" s="53"/>
    </row>
    <row r="826" ht="15.75" customHeight="1">
      <c r="A826" s="53"/>
      <c r="B826" s="53"/>
      <c r="C826" s="53"/>
      <c r="D826" s="53"/>
      <c r="E826" s="53"/>
    </row>
    <row r="827" ht="15.75" customHeight="1">
      <c r="A827" s="53"/>
      <c r="B827" s="53"/>
      <c r="C827" s="53"/>
      <c r="D827" s="53"/>
      <c r="E827" s="53"/>
    </row>
    <row r="828" ht="15.75" customHeight="1">
      <c r="A828" s="53"/>
      <c r="B828" s="53"/>
      <c r="C828" s="53"/>
      <c r="D828" s="53"/>
      <c r="E828" s="53"/>
    </row>
    <row r="829" ht="15.75" customHeight="1">
      <c r="A829" s="53"/>
      <c r="B829" s="53"/>
      <c r="C829" s="53"/>
      <c r="D829" s="53"/>
      <c r="E829" s="53"/>
    </row>
    <row r="830" ht="15.75" customHeight="1">
      <c r="A830" s="53"/>
      <c r="B830" s="53"/>
      <c r="C830" s="53"/>
      <c r="D830" s="53"/>
      <c r="E830" s="53"/>
    </row>
    <row r="831" ht="15.75" customHeight="1">
      <c r="A831" s="53"/>
      <c r="B831" s="53"/>
      <c r="C831" s="53"/>
      <c r="D831" s="53"/>
      <c r="E831" s="53"/>
    </row>
    <row r="832" ht="15.75" customHeight="1">
      <c r="A832" s="53"/>
      <c r="B832" s="53"/>
      <c r="C832" s="53"/>
      <c r="D832" s="53"/>
      <c r="E832" s="53"/>
    </row>
    <row r="833" ht="15.75" customHeight="1">
      <c r="A833" s="53"/>
      <c r="B833" s="53"/>
      <c r="C833" s="53"/>
      <c r="D833" s="53"/>
      <c r="E833" s="53"/>
    </row>
    <row r="834" ht="15.75" customHeight="1">
      <c r="A834" s="53"/>
      <c r="B834" s="53"/>
      <c r="C834" s="53"/>
      <c r="D834" s="53"/>
      <c r="E834" s="53"/>
    </row>
    <row r="835" ht="15.75" customHeight="1">
      <c r="A835" s="53"/>
      <c r="B835" s="53"/>
      <c r="C835" s="53"/>
      <c r="D835" s="53"/>
      <c r="E835" s="53"/>
    </row>
    <row r="836" ht="15.75" customHeight="1">
      <c r="A836" s="53"/>
      <c r="B836" s="53"/>
      <c r="C836" s="53"/>
      <c r="D836" s="53"/>
      <c r="E836" s="53"/>
    </row>
    <row r="837" ht="15.75" customHeight="1">
      <c r="A837" s="53"/>
      <c r="B837" s="53"/>
      <c r="C837" s="53"/>
      <c r="D837" s="53"/>
      <c r="E837" s="53"/>
    </row>
    <row r="838" ht="15.75" customHeight="1">
      <c r="A838" s="53"/>
      <c r="B838" s="53"/>
      <c r="C838" s="53"/>
      <c r="D838" s="53"/>
      <c r="E838" s="53"/>
    </row>
    <row r="839" ht="15.75" customHeight="1">
      <c r="A839" s="53"/>
      <c r="B839" s="53"/>
      <c r="C839" s="53"/>
      <c r="D839" s="53"/>
      <c r="E839" s="53"/>
    </row>
    <row r="840" ht="15.75" customHeight="1">
      <c r="A840" s="53"/>
      <c r="B840" s="53"/>
      <c r="C840" s="53"/>
      <c r="D840" s="53"/>
      <c r="E840" s="53"/>
    </row>
    <row r="841" ht="15.75" customHeight="1">
      <c r="A841" s="53"/>
      <c r="B841" s="53"/>
      <c r="C841" s="53"/>
      <c r="D841" s="53"/>
      <c r="E841" s="53"/>
    </row>
    <row r="842" ht="15.75" customHeight="1">
      <c r="A842" s="53"/>
      <c r="B842" s="53"/>
      <c r="C842" s="53"/>
      <c r="D842" s="53"/>
      <c r="E842" s="53"/>
    </row>
    <row r="843" ht="15.75" customHeight="1">
      <c r="A843" s="53"/>
      <c r="B843" s="53"/>
      <c r="C843" s="53"/>
      <c r="D843" s="53"/>
      <c r="E843" s="53"/>
    </row>
    <row r="844" ht="15.75" customHeight="1">
      <c r="A844" s="53"/>
      <c r="B844" s="53"/>
      <c r="C844" s="53"/>
      <c r="D844" s="53"/>
      <c r="E844" s="53"/>
    </row>
    <row r="845" ht="15.75" customHeight="1">
      <c r="A845" s="53"/>
      <c r="B845" s="53"/>
      <c r="C845" s="53"/>
      <c r="D845" s="53"/>
      <c r="E845" s="53"/>
    </row>
    <row r="846" ht="15.75" customHeight="1">
      <c r="A846" s="53"/>
      <c r="B846" s="53"/>
      <c r="C846" s="53"/>
      <c r="D846" s="53"/>
      <c r="E846" s="53"/>
    </row>
    <row r="847" ht="15.75" customHeight="1">
      <c r="A847" s="53"/>
      <c r="B847" s="53"/>
      <c r="C847" s="53"/>
      <c r="D847" s="53"/>
      <c r="E847" s="53"/>
    </row>
    <row r="848" ht="15.75" customHeight="1">
      <c r="A848" s="53"/>
      <c r="B848" s="53"/>
      <c r="C848" s="53"/>
      <c r="D848" s="53"/>
      <c r="E848" s="53"/>
    </row>
    <row r="849" ht="15.75" customHeight="1">
      <c r="A849" s="53"/>
      <c r="B849" s="53"/>
      <c r="C849" s="53"/>
      <c r="D849" s="53"/>
      <c r="E849" s="53"/>
    </row>
    <row r="850" ht="15.75" customHeight="1">
      <c r="A850" s="53"/>
      <c r="B850" s="53"/>
      <c r="C850" s="53"/>
      <c r="D850" s="53"/>
      <c r="E850" s="53"/>
    </row>
    <row r="851" ht="15.75" customHeight="1">
      <c r="A851" s="53"/>
      <c r="B851" s="53"/>
      <c r="C851" s="53"/>
      <c r="D851" s="53"/>
      <c r="E851" s="53"/>
    </row>
    <row r="852" ht="15.75" customHeight="1">
      <c r="A852" s="53"/>
      <c r="B852" s="53"/>
      <c r="C852" s="53"/>
      <c r="D852" s="53"/>
      <c r="E852" s="53"/>
    </row>
    <row r="853" ht="15.75" customHeight="1">
      <c r="A853" s="53"/>
      <c r="B853" s="53"/>
      <c r="C853" s="53"/>
      <c r="D853" s="53"/>
      <c r="E853" s="53"/>
    </row>
    <row r="854" ht="15.75" customHeight="1">
      <c r="A854" s="53"/>
      <c r="B854" s="53"/>
      <c r="C854" s="53"/>
      <c r="D854" s="53"/>
      <c r="E854" s="53"/>
    </row>
    <row r="855" ht="15.75" customHeight="1">
      <c r="A855" s="53"/>
      <c r="B855" s="53"/>
      <c r="C855" s="53"/>
      <c r="D855" s="53"/>
      <c r="E855" s="53"/>
    </row>
    <row r="856" ht="15.75" customHeight="1">
      <c r="A856" s="53"/>
      <c r="B856" s="53"/>
      <c r="C856" s="53"/>
      <c r="D856" s="53"/>
      <c r="E856" s="53"/>
    </row>
    <row r="857" ht="15.75" customHeight="1">
      <c r="A857" s="53"/>
      <c r="B857" s="53"/>
      <c r="C857" s="53"/>
      <c r="D857" s="53"/>
      <c r="E857" s="53"/>
    </row>
    <row r="858" ht="15.75" customHeight="1">
      <c r="A858" s="53"/>
      <c r="B858" s="53"/>
      <c r="C858" s="53"/>
      <c r="D858" s="53"/>
      <c r="E858" s="53"/>
    </row>
    <row r="859" ht="15.75" customHeight="1">
      <c r="A859" s="53"/>
      <c r="B859" s="53"/>
      <c r="C859" s="53"/>
      <c r="D859" s="53"/>
      <c r="E859" s="53"/>
    </row>
    <row r="860" ht="15.75" customHeight="1">
      <c r="A860" s="53"/>
      <c r="B860" s="53"/>
      <c r="C860" s="53"/>
      <c r="D860" s="53"/>
      <c r="E860" s="53"/>
    </row>
    <row r="861" ht="15.75" customHeight="1">
      <c r="A861" s="53"/>
      <c r="B861" s="53"/>
      <c r="C861" s="53"/>
      <c r="D861" s="53"/>
      <c r="E861" s="53"/>
    </row>
    <row r="862" ht="15.75" customHeight="1">
      <c r="A862" s="53"/>
      <c r="B862" s="53"/>
      <c r="C862" s="53"/>
      <c r="D862" s="53"/>
      <c r="E862" s="53"/>
    </row>
    <row r="863" ht="15.75" customHeight="1">
      <c r="A863" s="53"/>
      <c r="B863" s="53"/>
      <c r="C863" s="53"/>
      <c r="D863" s="53"/>
      <c r="E863" s="53"/>
    </row>
    <row r="864" ht="15.75" customHeight="1">
      <c r="A864" s="53"/>
      <c r="B864" s="53"/>
      <c r="C864" s="53"/>
      <c r="D864" s="53"/>
      <c r="E864" s="53"/>
    </row>
    <row r="865" ht="15.75" customHeight="1">
      <c r="A865" s="53"/>
      <c r="B865" s="53"/>
      <c r="C865" s="53"/>
      <c r="D865" s="53"/>
      <c r="E865" s="53"/>
    </row>
    <row r="866" ht="15.75" customHeight="1">
      <c r="A866" s="53"/>
      <c r="B866" s="53"/>
      <c r="C866" s="53"/>
      <c r="D866" s="53"/>
      <c r="E866" s="53"/>
    </row>
    <row r="867" ht="15.75" customHeight="1">
      <c r="A867" s="53"/>
      <c r="B867" s="53"/>
      <c r="C867" s="53"/>
      <c r="D867" s="53"/>
      <c r="E867" s="53"/>
    </row>
    <row r="868" ht="15.75" customHeight="1">
      <c r="A868" s="53"/>
      <c r="B868" s="53"/>
      <c r="C868" s="53"/>
      <c r="D868" s="53"/>
      <c r="E868" s="53"/>
    </row>
    <row r="869" ht="15.75" customHeight="1">
      <c r="A869" s="53"/>
      <c r="B869" s="53"/>
      <c r="C869" s="53"/>
      <c r="D869" s="53"/>
      <c r="E869" s="53"/>
    </row>
    <row r="870" ht="15.75" customHeight="1">
      <c r="A870" s="53"/>
      <c r="B870" s="53"/>
      <c r="C870" s="53"/>
      <c r="D870" s="53"/>
      <c r="E870" s="53"/>
    </row>
    <row r="871" ht="15.75" customHeight="1">
      <c r="A871" s="53"/>
      <c r="B871" s="53"/>
      <c r="C871" s="53"/>
      <c r="D871" s="53"/>
      <c r="E871" s="53"/>
    </row>
    <row r="872" ht="15.75" customHeight="1">
      <c r="A872" s="53"/>
      <c r="B872" s="53"/>
      <c r="C872" s="53"/>
      <c r="D872" s="53"/>
      <c r="E872" s="53"/>
    </row>
    <row r="873" ht="15.75" customHeight="1">
      <c r="A873" s="53"/>
      <c r="B873" s="53"/>
      <c r="C873" s="53"/>
      <c r="D873" s="53"/>
      <c r="E873" s="53"/>
    </row>
    <row r="874" ht="15.75" customHeight="1">
      <c r="A874" s="53"/>
      <c r="B874" s="53"/>
      <c r="C874" s="53"/>
      <c r="D874" s="53"/>
      <c r="E874" s="53"/>
    </row>
    <row r="875" ht="15.75" customHeight="1">
      <c r="A875" s="53"/>
      <c r="B875" s="53"/>
      <c r="C875" s="53"/>
      <c r="D875" s="53"/>
      <c r="E875" s="53"/>
    </row>
    <row r="876" ht="15.75" customHeight="1">
      <c r="A876" s="53"/>
      <c r="B876" s="53"/>
      <c r="C876" s="53"/>
      <c r="D876" s="53"/>
      <c r="E876" s="53"/>
    </row>
    <row r="877" ht="15.75" customHeight="1">
      <c r="A877" s="53"/>
      <c r="B877" s="53"/>
      <c r="C877" s="53"/>
      <c r="D877" s="53"/>
      <c r="E877" s="53"/>
    </row>
    <row r="878" ht="15.75" customHeight="1">
      <c r="A878" s="53"/>
      <c r="B878" s="53"/>
      <c r="C878" s="53"/>
      <c r="D878" s="53"/>
      <c r="E878" s="53"/>
    </row>
    <row r="879" ht="15.75" customHeight="1">
      <c r="A879" s="53"/>
      <c r="B879" s="53"/>
      <c r="C879" s="53"/>
      <c r="D879" s="53"/>
      <c r="E879" s="53"/>
    </row>
    <row r="880" ht="15.75" customHeight="1">
      <c r="A880" s="53"/>
      <c r="B880" s="53"/>
      <c r="C880" s="53"/>
      <c r="D880" s="53"/>
      <c r="E880" s="53"/>
    </row>
    <row r="881" ht="15.75" customHeight="1">
      <c r="A881" s="53"/>
      <c r="B881" s="53"/>
      <c r="C881" s="53"/>
      <c r="D881" s="53"/>
      <c r="E881" s="53"/>
    </row>
    <row r="882" ht="15.75" customHeight="1">
      <c r="A882" s="53"/>
      <c r="B882" s="53"/>
      <c r="C882" s="53"/>
      <c r="D882" s="53"/>
      <c r="E882" s="53"/>
    </row>
    <row r="883" ht="15.75" customHeight="1">
      <c r="A883" s="53"/>
      <c r="B883" s="53"/>
      <c r="C883" s="53"/>
      <c r="D883" s="53"/>
      <c r="E883" s="53"/>
    </row>
    <row r="884" ht="15.75" customHeight="1">
      <c r="A884" s="53"/>
      <c r="B884" s="53"/>
      <c r="C884" s="53"/>
      <c r="D884" s="53"/>
      <c r="E884" s="53"/>
    </row>
    <row r="885" ht="15.75" customHeight="1">
      <c r="A885" s="53"/>
      <c r="B885" s="53"/>
      <c r="C885" s="53"/>
      <c r="D885" s="53"/>
      <c r="E885" s="53"/>
    </row>
    <row r="886" ht="15.75" customHeight="1">
      <c r="A886" s="53"/>
      <c r="B886" s="53"/>
      <c r="C886" s="53"/>
      <c r="D886" s="53"/>
      <c r="E886" s="53"/>
    </row>
    <row r="887" ht="15.75" customHeight="1">
      <c r="A887" s="53"/>
      <c r="B887" s="53"/>
      <c r="C887" s="53"/>
      <c r="D887" s="53"/>
      <c r="E887" s="53"/>
    </row>
    <row r="888" ht="15.75" customHeight="1">
      <c r="A888" s="53"/>
      <c r="B888" s="53"/>
      <c r="C888" s="53"/>
      <c r="D888" s="53"/>
      <c r="E888" s="53"/>
    </row>
    <row r="889" ht="15.75" customHeight="1">
      <c r="A889" s="53"/>
      <c r="B889" s="53"/>
      <c r="C889" s="53"/>
      <c r="D889" s="53"/>
      <c r="E889" s="53"/>
    </row>
    <row r="890" ht="15.75" customHeight="1">
      <c r="A890" s="53"/>
      <c r="B890" s="53"/>
      <c r="C890" s="53"/>
      <c r="D890" s="53"/>
      <c r="E890" s="53"/>
    </row>
    <row r="891" ht="15.75" customHeight="1">
      <c r="A891" s="53"/>
      <c r="B891" s="53"/>
      <c r="C891" s="53"/>
      <c r="D891" s="53"/>
      <c r="E891" s="53"/>
    </row>
    <row r="892" ht="15.75" customHeight="1">
      <c r="A892" s="53"/>
      <c r="B892" s="53"/>
      <c r="C892" s="53"/>
      <c r="D892" s="53"/>
      <c r="E892" s="53"/>
    </row>
    <row r="893" ht="15.75" customHeight="1">
      <c r="A893" s="53"/>
      <c r="B893" s="53"/>
      <c r="C893" s="53"/>
      <c r="D893" s="53"/>
      <c r="E893" s="53"/>
    </row>
    <row r="894" ht="15.75" customHeight="1">
      <c r="A894" s="53"/>
      <c r="B894" s="53"/>
      <c r="C894" s="53"/>
      <c r="D894" s="53"/>
      <c r="E894" s="53"/>
    </row>
    <row r="895" ht="15.75" customHeight="1">
      <c r="A895" s="53"/>
      <c r="B895" s="53"/>
      <c r="C895" s="53"/>
      <c r="D895" s="53"/>
      <c r="E895" s="53"/>
    </row>
    <row r="896" ht="15.75" customHeight="1">
      <c r="A896" s="53"/>
      <c r="B896" s="53"/>
      <c r="C896" s="53"/>
      <c r="D896" s="53"/>
      <c r="E896" s="53"/>
    </row>
    <row r="897" ht="15.75" customHeight="1">
      <c r="A897" s="53"/>
      <c r="B897" s="53"/>
      <c r="C897" s="53"/>
      <c r="D897" s="53"/>
      <c r="E897" s="53"/>
    </row>
    <row r="898" ht="15.75" customHeight="1">
      <c r="A898" s="53"/>
      <c r="B898" s="53"/>
      <c r="C898" s="53"/>
      <c r="D898" s="53"/>
      <c r="E898" s="53"/>
    </row>
    <row r="899" ht="15.75" customHeight="1">
      <c r="A899" s="53"/>
      <c r="B899" s="53"/>
      <c r="C899" s="53"/>
      <c r="D899" s="53"/>
      <c r="E899" s="53"/>
    </row>
    <row r="900" ht="15.75" customHeight="1">
      <c r="A900" s="53"/>
      <c r="B900" s="53"/>
      <c r="C900" s="53"/>
      <c r="D900" s="53"/>
      <c r="E900" s="53"/>
    </row>
    <row r="901" ht="15.75" customHeight="1">
      <c r="A901" s="53"/>
      <c r="B901" s="53"/>
      <c r="C901" s="53"/>
      <c r="D901" s="53"/>
      <c r="E901" s="53"/>
    </row>
    <row r="902" ht="15.75" customHeight="1">
      <c r="A902" s="53"/>
      <c r="B902" s="53"/>
      <c r="C902" s="53"/>
      <c r="D902" s="53"/>
      <c r="E902" s="53"/>
    </row>
    <row r="903" ht="15.75" customHeight="1">
      <c r="A903" s="53"/>
      <c r="B903" s="53"/>
      <c r="C903" s="53"/>
      <c r="D903" s="53"/>
      <c r="E903" s="53"/>
    </row>
    <row r="904" ht="15.75" customHeight="1">
      <c r="A904" s="53"/>
      <c r="B904" s="53"/>
      <c r="C904" s="53"/>
      <c r="D904" s="53"/>
      <c r="E904" s="53"/>
    </row>
    <row r="905" ht="15.75" customHeight="1">
      <c r="A905" s="53"/>
      <c r="B905" s="53"/>
      <c r="C905" s="53"/>
      <c r="D905" s="53"/>
      <c r="E905" s="53"/>
    </row>
    <row r="906" ht="15.75" customHeight="1">
      <c r="A906" s="53"/>
      <c r="B906" s="53"/>
      <c r="C906" s="53"/>
      <c r="D906" s="53"/>
      <c r="E906" s="53"/>
    </row>
    <row r="907" ht="15.75" customHeight="1">
      <c r="A907" s="53"/>
      <c r="B907" s="53"/>
      <c r="C907" s="53"/>
      <c r="D907" s="53"/>
      <c r="E907" s="53"/>
    </row>
    <row r="908" ht="15.75" customHeight="1">
      <c r="A908" s="53"/>
      <c r="B908" s="53"/>
      <c r="C908" s="53"/>
      <c r="D908" s="53"/>
      <c r="E908" s="53"/>
    </row>
    <row r="909" ht="15.75" customHeight="1">
      <c r="A909" s="53"/>
      <c r="B909" s="53"/>
      <c r="C909" s="53"/>
      <c r="D909" s="53"/>
      <c r="E909" s="53"/>
    </row>
    <row r="910" ht="15.75" customHeight="1">
      <c r="A910" s="53"/>
      <c r="B910" s="53"/>
      <c r="C910" s="53"/>
      <c r="D910" s="53"/>
      <c r="E910" s="53"/>
    </row>
    <row r="911" ht="15.75" customHeight="1">
      <c r="A911" s="53"/>
      <c r="B911" s="53"/>
      <c r="C911" s="53"/>
      <c r="D911" s="53"/>
      <c r="E911" s="53"/>
    </row>
    <row r="912" ht="15.75" customHeight="1">
      <c r="A912" s="53"/>
      <c r="B912" s="53"/>
      <c r="C912" s="53"/>
      <c r="D912" s="53"/>
      <c r="E912" s="53"/>
    </row>
    <row r="913" ht="15.75" customHeight="1">
      <c r="A913" s="53"/>
      <c r="B913" s="53"/>
      <c r="C913" s="53"/>
      <c r="D913" s="53"/>
      <c r="E913" s="53"/>
    </row>
    <row r="914" ht="15.75" customHeight="1">
      <c r="A914" s="53"/>
      <c r="B914" s="53"/>
      <c r="C914" s="53"/>
      <c r="D914" s="53"/>
      <c r="E914" s="53"/>
    </row>
    <row r="915" ht="15.75" customHeight="1">
      <c r="A915" s="53"/>
      <c r="B915" s="53"/>
      <c r="C915" s="53"/>
      <c r="D915" s="53"/>
      <c r="E915" s="53"/>
    </row>
    <row r="916" ht="15.75" customHeight="1">
      <c r="A916" s="53"/>
      <c r="B916" s="53"/>
      <c r="C916" s="53"/>
      <c r="D916" s="53"/>
      <c r="E916" s="53"/>
    </row>
    <row r="917" ht="15.75" customHeight="1">
      <c r="A917" s="53"/>
      <c r="B917" s="53"/>
      <c r="C917" s="53"/>
      <c r="D917" s="53"/>
      <c r="E917" s="53"/>
    </row>
    <row r="918" ht="15.75" customHeight="1">
      <c r="A918" s="53"/>
      <c r="B918" s="53"/>
      <c r="C918" s="53"/>
      <c r="D918" s="53"/>
      <c r="E918" s="53"/>
    </row>
    <row r="919" ht="15.75" customHeight="1">
      <c r="A919" s="53"/>
      <c r="B919" s="53"/>
      <c r="C919" s="53"/>
      <c r="D919" s="53"/>
      <c r="E919" s="53"/>
    </row>
    <row r="920" ht="15.75" customHeight="1">
      <c r="A920" s="53"/>
      <c r="B920" s="53"/>
      <c r="C920" s="53"/>
      <c r="D920" s="53"/>
      <c r="E920" s="53"/>
    </row>
    <row r="921" ht="15.75" customHeight="1">
      <c r="A921" s="53"/>
      <c r="B921" s="53"/>
      <c r="C921" s="53"/>
      <c r="D921" s="53"/>
      <c r="E921" s="53"/>
    </row>
    <row r="922" ht="15.75" customHeight="1">
      <c r="A922" s="53"/>
      <c r="B922" s="53"/>
      <c r="C922" s="53"/>
      <c r="D922" s="53"/>
      <c r="E922" s="53"/>
    </row>
    <row r="923" ht="15.75" customHeight="1">
      <c r="A923" s="53"/>
      <c r="B923" s="53"/>
      <c r="C923" s="53"/>
      <c r="D923" s="53"/>
      <c r="E923" s="53"/>
    </row>
    <row r="924" ht="15.75" customHeight="1">
      <c r="A924" s="53"/>
      <c r="B924" s="53"/>
      <c r="C924" s="53"/>
      <c r="D924" s="53"/>
      <c r="E924" s="53"/>
    </row>
    <row r="925" ht="15.75" customHeight="1">
      <c r="A925" s="53"/>
      <c r="B925" s="53"/>
      <c r="C925" s="53"/>
      <c r="D925" s="53"/>
      <c r="E925" s="53"/>
    </row>
    <row r="926" ht="15.75" customHeight="1">
      <c r="A926" s="53"/>
      <c r="B926" s="53"/>
      <c r="C926" s="53"/>
      <c r="D926" s="53"/>
      <c r="E926" s="53"/>
    </row>
    <row r="927" ht="15.75" customHeight="1">
      <c r="A927" s="53"/>
      <c r="B927" s="53"/>
      <c r="C927" s="53"/>
      <c r="D927" s="53"/>
      <c r="E927" s="53"/>
    </row>
    <row r="928" ht="15.75" customHeight="1">
      <c r="A928" s="53"/>
      <c r="B928" s="53"/>
      <c r="C928" s="53"/>
      <c r="D928" s="53"/>
      <c r="E928" s="53"/>
    </row>
    <row r="929" ht="15.75" customHeight="1">
      <c r="A929" s="53"/>
      <c r="B929" s="53"/>
      <c r="C929" s="53"/>
      <c r="D929" s="53"/>
      <c r="E929" s="53"/>
    </row>
    <row r="930" ht="15.75" customHeight="1">
      <c r="A930" s="53"/>
      <c r="B930" s="53"/>
      <c r="C930" s="53"/>
      <c r="D930" s="53"/>
      <c r="E930" s="53"/>
    </row>
    <row r="931" ht="15.75" customHeight="1">
      <c r="A931" s="53"/>
      <c r="B931" s="53"/>
      <c r="C931" s="53"/>
      <c r="D931" s="53"/>
      <c r="E931" s="53"/>
    </row>
    <row r="932" ht="15.75" customHeight="1">
      <c r="A932" s="53"/>
      <c r="B932" s="53"/>
      <c r="C932" s="53"/>
      <c r="D932" s="53"/>
      <c r="E932" s="53"/>
    </row>
    <row r="933" ht="15.75" customHeight="1">
      <c r="A933" s="53"/>
      <c r="B933" s="53"/>
      <c r="C933" s="53"/>
      <c r="D933" s="53"/>
      <c r="E933" s="53"/>
    </row>
    <row r="934" ht="15.75" customHeight="1">
      <c r="A934" s="53"/>
      <c r="B934" s="53"/>
      <c r="C934" s="53"/>
      <c r="D934" s="53"/>
      <c r="E934" s="53"/>
    </row>
    <row r="935" ht="15.75" customHeight="1">
      <c r="A935" s="53"/>
      <c r="B935" s="53"/>
      <c r="C935" s="53"/>
      <c r="D935" s="53"/>
      <c r="E935" s="53"/>
    </row>
    <row r="936" ht="15.75" customHeight="1">
      <c r="A936" s="53"/>
      <c r="B936" s="53"/>
      <c r="C936" s="53"/>
      <c r="D936" s="53"/>
      <c r="E936" s="53"/>
    </row>
    <row r="937" ht="15.75" customHeight="1">
      <c r="A937" s="53"/>
      <c r="B937" s="53"/>
      <c r="C937" s="53"/>
      <c r="D937" s="53"/>
      <c r="E937" s="53"/>
    </row>
    <row r="938" ht="15.75" customHeight="1">
      <c r="A938" s="53"/>
      <c r="B938" s="53"/>
      <c r="C938" s="53"/>
      <c r="D938" s="53"/>
      <c r="E938" s="53"/>
    </row>
    <row r="939" ht="15.75" customHeight="1">
      <c r="A939" s="53"/>
      <c r="B939" s="53"/>
      <c r="C939" s="53"/>
      <c r="D939" s="53"/>
      <c r="E939" s="53"/>
    </row>
    <row r="940" ht="15.75" customHeight="1">
      <c r="A940" s="53"/>
      <c r="B940" s="53"/>
      <c r="C940" s="53"/>
      <c r="D940" s="53"/>
      <c r="E940" s="53"/>
    </row>
    <row r="941" ht="15.75" customHeight="1">
      <c r="A941" s="53"/>
      <c r="B941" s="53"/>
      <c r="C941" s="53"/>
      <c r="D941" s="53"/>
      <c r="E941" s="53"/>
    </row>
    <row r="942" ht="15.75" customHeight="1">
      <c r="A942" s="53"/>
      <c r="B942" s="53"/>
      <c r="C942" s="53"/>
      <c r="D942" s="53"/>
      <c r="E942" s="53"/>
    </row>
    <row r="943" ht="15.75" customHeight="1">
      <c r="A943" s="53"/>
      <c r="B943" s="53"/>
      <c r="C943" s="53"/>
      <c r="D943" s="53"/>
      <c r="E943" s="53"/>
    </row>
    <row r="944" ht="15.75" customHeight="1">
      <c r="A944" s="53"/>
      <c r="B944" s="53"/>
      <c r="C944" s="53"/>
      <c r="D944" s="53"/>
      <c r="E944" s="53"/>
    </row>
    <row r="945" ht="15.75" customHeight="1">
      <c r="A945" s="53"/>
      <c r="B945" s="53"/>
      <c r="C945" s="53"/>
      <c r="D945" s="53"/>
      <c r="E945" s="53"/>
    </row>
    <row r="946" ht="15.75" customHeight="1">
      <c r="A946" s="53"/>
      <c r="B946" s="53"/>
      <c r="C946" s="53"/>
      <c r="D946" s="53"/>
      <c r="E946" s="53"/>
    </row>
    <row r="947" ht="15.75" customHeight="1">
      <c r="A947" s="53"/>
      <c r="B947" s="53"/>
      <c r="C947" s="53"/>
      <c r="D947" s="53"/>
      <c r="E947" s="53"/>
    </row>
    <row r="948" ht="15.75" customHeight="1">
      <c r="A948" s="53"/>
      <c r="B948" s="53"/>
      <c r="C948" s="53"/>
      <c r="D948" s="53"/>
      <c r="E948" s="53"/>
    </row>
    <row r="949" ht="15.75" customHeight="1">
      <c r="A949" s="53"/>
      <c r="B949" s="53"/>
      <c r="C949" s="53"/>
      <c r="D949" s="53"/>
      <c r="E949" s="53"/>
    </row>
    <row r="950" ht="15.75" customHeight="1">
      <c r="A950" s="53"/>
      <c r="B950" s="53"/>
      <c r="C950" s="53"/>
      <c r="D950" s="53"/>
      <c r="E950" s="53"/>
    </row>
    <row r="951" ht="15.75" customHeight="1">
      <c r="A951" s="53"/>
      <c r="B951" s="53"/>
      <c r="C951" s="53"/>
      <c r="D951" s="53"/>
      <c r="E951" s="53"/>
    </row>
    <row r="952" ht="15.75" customHeight="1">
      <c r="A952" s="53"/>
      <c r="B952" s="53"/>
      <c r="C952" s="53"/>
      <c r="D952" s="53"/>
      <c r="E952" s="53"/>
    </row>
    <row r="953" ht="15.75" customHeight="1">
      <c r="A953" s="53"/>
      <c r="B953" s="53"/>
      <c r="C953" s="53"/>
      <c r="D953" s="53"/>
      <c r="E953" s="53"/>
    </row>
    <row r="954" ht="15.75" customHeight="1">
      <c r="A954" s="53"/>
      <c r="B954" s="53"/>
      <c r="C954" s="53"/>
      <c r="D954" s="53"/>
      <c r="E954" s="53"/>
    </row>
    <row r="955" ht="15.75" customHeight="1">
      <c r="A955" s="53"/>
      <c r="B955" s="53"/>
      <c r="C955" s="53"/>
      <c r="D955" s="53"/>
      <c r="E955" s="53"/>
    </row>
    <row r="956" ht="15.75" customHeight="1">
      <c r="A956" s="53"/>
      <c r="B956" s="53"/>
      <c r="C956" s="53"/>
      <c r="D956" s="53"/>
      <c r="E956" s="53"/>
    </row>
    <row r="957" ht="15.75" customHeight="1">
      <c r="A957" s="53"/>
      <c r="B957" s="53"/>
      <c r="C957" s="53"/>
      <c r="D957" s="53"/>
      <c r="E957" s="53"/>
    </row>
    <row r="958" ht="15.75" customHeight="1">
      <c r="A958" s="53"/>
      <c r="B958" s="53"/>
      <c r="C958" s="53"/>
      <c r="D958" s="53"/>
      <c r="E958" s="53"/>
    </row>
    <row r="959" ht="15.75" customHeight="1">
      <c r="A959" s="53"/>
      <c r="B959" s="53"/>
      <c r="C959" s="53"/>
      <c r="D959" s="53"/>
      <c r="E959" s="53"/>
    </row>
    <row r="960" ht="15.75" customHeight="1">
      <c r="A960" s="53"/>
      <c r="B960" s="53"/>
      <c r="C960" s="53"/>
      <c r="D960" s="53"/>
      <c r="E960" s="53"/>
    </row>
    <row r="961" ht="15.75" customHeight="1">
      <c r="A961" s="53"/>
      <c r="B961" s="53"/>
      <c r="C961" s="53"/>
      <c r="D961" s="53"/>
      <c r="E961" s="53"/>
    </row>
    <row r="962" ht="15.75" customHeight="1">
      <c r="A962" s="53"/>
      <c r="B962" s="53"/>
      <c r="C962" s="53"/>
      <c r="D962" s="53"/>
      <c r="E962" s="53"/>
    </row>
    <row r="963" ht="15.75" customHeight="1">
      <c r="A963" s="53"/>
      <c r="B963" s="53"/>
      <c r="C963" s="53"/>
      <c r="D963" s="53"/>
      <c r="E963" s="53"/>
    </row>
    <row r="964" ht="15.75" customHeight="1">
      <c r="A964" s="53"/>
      <c r="B964" s="53"/>
      <c r="C964" s="53"/>
      <c r="D964" s="53"/>
      <c r="E964" s="53"/>
    </row>
    <row r="965" ht="15.75" customHeight="1">
      <c r="A965" s="53"/>
      <c r="B965" s="53"/>
      <c r="C965" s="53"/>
      <c r="D965" s="53"/>
      <c r="E965" s="53"/>
    </row>
    <row r="966" ht="15.75" customHeight="1">
      <c r="A966" s="53"/>
      <c r="B966" s="53"/>
      <c r="C966" s="53"/>
      <c r="D966" s="53"/>
      <c r="E966" s="53"/>
    </row>
    <row r="967" ht="15.75" customHeight="1">
      <c r="A967" s="53"/>
      <c r="B967" s="53"/>
      <c r="C967" s="53"/>
      <c r="D967" s="53"/>
      <c r="E967" s="53"/>
    </row>
    <row r="968" ht="15.75" customHeight="1">
      <c r="A968" s="53"/>
      <c r="B968" s="53"/>
      <c r="C968" s="53"/>
      <c r="D968" s="53"/>
      <c r="E968" s="53"/>
    </row>
    <row r="969" ht="15.75" customHeight="1">
      <c r="A969" s="53"/>
      <c r="B969" s="53"/>
      <c r="C969" s="53"/>
      <c r="D969" s="53"/>
      <c r="E969" s="53"/>
    </row>
    <row r="970" ht="15.75" customHeight="1">
      <c r="A970" s="53"/>
      <c r="B970" s="53"/>
      <c r="C970" s="53"/>
      <c r="D970" s="53"/>
      <c r="E970" s="53"/>
    </row>
    <row r="971" ht="15.75" customHeight="1">
      <c r="A971" s="53"/>
      <c r="B971" s="53"/>
      <c r="C971" s="53"/>
      <c r="D971" s="53"/>
      <c r="E971" s="53"/>
    </row>
    <row r="972" ht="15.75" customHeight="1">
      <c r="A972" s="53"/>
      <c r="B972" s="53"/>
      <c r="C972" s="53"/>
      <c r="D972" s="53"/>
      <c r="E972" s="53"/>
    </row>
    <row r="973" ht="15.75" customHeight="1">
      <c r="A973" s="53"/>
      <c r="B973" s="53"/>
      <c r="C973" s="53"/>
      <c r="D973" s="53"/>
      <c r="E973" s="53"/>
    </row>
    <row r="974" ht="15.75" customHeight="1">
      <c r="A974" s="53"/>
      <c r="B974" s="53"/>
      <c r="C974" s="53"/>
      <c r="D974" s="53"/>
      <c r="E974" s="53"/>
    </row>
    <row r="975" ht="15.75" customHeight="1">
      <c r="A975" s="53"/>
      <c r="B975" s="53"/>
      <c r="C975" s="53"/>
      <c r="D975" s="53"/>
      <c r="E975" s="53"/>
    </row>
    <row r="976" ht="15.75" customHeight="1">
      <c r="A976" s="53"/>
      <c r="B976" s="53"/>
      <c r="C976" s="53"/>
      <c r="D976" s="53"/>
      <c r="E976" s="53"/>
    </row>
    <row r="977" ht="15.75" customHeight="1">
      <c r="A977" s="53"/>
      <c r="B977" s="53"/>
      <c r="C977" s="53"/>
      <c r="D977" s="53"/>
      <c r="E977" s="53"/>
    </row>
    <row r="978" ht="15.75" customHeight="1">
      <c r="A978" s="53"/>
      <c r="B978" s="53"/>
      <c r="C978" s="53"/>
      <c r="D978" s="53"/>
      <c r="E978" s="53"/>
    </row>
    <row r="979" ht="15.75" customHeight="1">
      <c r="A979" s="53"/>
      <c r="B979" s="53"/>
      <c r="C979" s="53"/>
      <c r="D979" s="53"/>
      <c r="E979" s="53"/>
    </row>
    <row r="980" ht="15.75" customHeight="1">
      <c r="A980" s="53"/>
      <c r="B980" s="53"/>
      <c r="C980" s="53"/>
      <c r="D980" s="53"/>
      <c r="E980" s="53"/>
    </row>
    <row r="981" ht="15.75" customHeight="1">
      <c r="A981" s="53"/>
      <c r="B981" s="53"/>
      <c r="C981" s="53"/>
      <c r="D981" s="53"/>
      <c r="E981" s="53"/>
    </row>
    <row r="982" ht="15.75" customHeight="1">
      <c r="A982" s="53"/>
      <c r="B982" s="53"/>
      <c r="C982" s="53"/>
      <c r="D982" s="53"/>
      <c r="E982" s="53"/>
    </row>
    <row r="983" ht="15.75" customHeight="1">
      <c r="A983" s="53"/>
      <c r="B983" s="53"/>
      <c r="C983" s="53"/>
      <c r="D983" s="53"/>
      <c r="E983" s="53"/>
    </row>
    <row r="984" ht="15.75" customHeight="1">
      <c r="A984" s="53"/>
      <c r="B984" s="53"/>
      <c r="C984" s="53"/>
      <c r="D984" s="53"/>
      <c r="E984" s="53"/>
    </row>
    <row r="985" ht="15.75" customHeight="1">
      <c r="A985" s="53"/>
      <c r="B985" s="53"/>
      <c r="C985" s="53"/>
      <c r="D985" s="53"/>
      <c r="E985" s="53"/>
    </row>
    <row r="986" ht="15.75" customHeight="1">
      <c r="A986" s="53"/>
      <c r="B986" s="53"/>
      <c r="C986" s="53"/>
      <c r="D986" s="53"/>
      <c r="E986" s="53"/>
    </row>
    <row r="987" ht="15.75" customHeight="1">
      <c r="A987" s="53"/>
      <c r="B987" s="53"/>
      <c r="C987" s="53"/>
      <c r="D987" s="53"/>
      <c r="E987" s="53"/>
    </row>
    <row r="988" ht="15.75" customHeight="1">
      <c r="A988" s="53"/>
      <c r="B988" s="53"/>
      <c r="C988" s="53"/>
      <c r="D988" s="53"/>
      <c r="E988" s="53"/>
    </row>
    <row r="989" ht="15.75" customHeight="1">
      <c r="A989" s="53"/>
      <c r="B989" s="53"/>
      <c r="C989" s="53"/>
      <c r="D989" s="53"/>
      <c r="E989" s="53"/>
    </row>
    <row r="990" ht="15.75" customHeight="1">
      <c r="A990" s="53"/>
      <c r="B990" s="53"/>
      <c r="C990" s="53"/>
      <c r="D990" s="53"/>
      <c r="E990" s="53"/>
    </row>
    <row r="991" ht="15.75" customHeight="1">
      <c r="A991" s="53"/>
      <c r="B991" s="53"/>
      <c r="C991" s="53"/>
      <c r="D991" s="53"/>
      <c r="E991" s="53"/>
    </row>
    <row r="992" ht="15.75" customHeight="1">
      <c r="A992" s="53"/>
      <c r="B992" s="53"/>
      <c r="C992" s="53"/>
      <c r="D992" s="53"/>
      <c r="E992" s="53"/>
    </row>
    <row r="993" ht="15.75" customHeight="1">
      <c r="A993" s="53"/>
      <c r="B993" s="53"/>
      <c r="C993" s="53"/>
      <c r="D993" s="53"/>
      <c r="E993" s="53"/>
    </row>
    <row r="994" ht="15.75" customHeight="1">
      <c r="A994" s="53"/>
      <c r="B994" s="53"/>
      <c r="C994" s="53"/>
      <c r="D994" s="53"/>
      <c r="E994" s="53"/>
    </row>
    <row r="995" ht="15.75" customHeight="1">
      <c r="A995" s="53"/>
      <c r="B995" s="53"/>
      <c r="C995" s="53"/>
      <c r="D995" s="53"/>
      <c r="E995" s="53"/>
    </row>
    <row r="996" ht="15.75" customHeight="1">
      <c r="A996" s="53"/>
      <c r="B996" s="53"/>
      <c r="C996" s="53"/>
      <c r="D996" s="53"/>
      <c r="E996" s="53"/>
    </row>
    <row r="997" ht="15.75" customHeight="1">
      <c r="A997" s="53"/>
      <c r="B997" s="53"/>
      <c r="C997" s="53"/>
      <c r="D997" s="53"/>
      <c r="E997" s="53"/>
    </row>
    <row r="998" ht="15.75" customHeight="1">
      <c r="A998" s="53"/>
      <c r="B998" s="53"/>
      <c r="C998" s="53"/>
      <c r="D998" s="53"/>
      <c r="E998" s="53"/>
    </row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